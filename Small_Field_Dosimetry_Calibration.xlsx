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ENVIRONMENT" sheetId="3" state="visible" r:id="rId3"/>
    <sheet xmlns:r="http://schemas.openxmlformats.org/officeDocument/2006/relationships" name="BEAM_QUALITY" sheetId="4" state="visible" r:id="rId4"/>
    <sheet xmlns:r="http://schemas.openxmlformats.org/officeDocument/2006/relationships" name="REF_DOSIMETRY" sheetId="5" state="visible" r:id="rId5"/>
    <sheet xmlns:r="http://schemas.openxmlformats.org/officeDocument/2006/relationships" name="DET_CONDITIONING" sheetId="6" state="visible" r:id="rId6"/>
    <sheet xmlns:r="http://schemas.openxmlformats.org/officeDocument/2006/relationships" name="FWHM" sheetId="7" state="visible" r:id="rId7"/>
    <sheet xmlns:r="http://schemas.openxmlformats.org/officeDocument/2006/relationships" name="OF_METHOD_A" sheetId="8" state="visible" r:id="rId8"/>
    <sheet xmlns:r="http://schemas.openxmlformats.org/officeDocument/2006/relationships" name="OF_METHOD_B" sheetId="9" state="visible" r:id="rId9"/>
    <sheet xmlns:r="http://schemas.openxmlformats.org/officeDocument/2006/relationships" name="OF_METHOD_C" sheetId="10" state="visible" r:id="rId10"/>
    <sheet xmlns:r="http://schemas.openxmlformats.org/officeDocument/2006/relationships" name="K_FACTORS" sheetId="11" state="visible" r:id="rId11"/>
    <sheet xmlns:r="http://schemas.openxmlformats.org/officeDocument/2006/relationships" name="UNCERTAINTY" sheetId="12" state="visible" r:id="rId12"/>
    <sheet xmlns:r="http://schemas.openxmlformats.org/officeDocument/2006/relationships" name="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E+00"/>
    <numFmt numFmtId="165" formatCode="0.0000"/>
    <numFmt numFmtId="166" formatCode="0.000"/>
    <numFmt numFmtId="167" formatCode="0.0"/>
    <numFmt numFmtId="168" formatCode="YYYY-MM-DD"/>
    <numFmt numFmtId="169" formatCode="HH:MM"/>
    <numFmt numFmtId="170" formatCode="0.000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9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i val="1"/>
      <color rgb="00444444"/>
      <sz val="9"/>
    </font>
    <font>
      <name val="Calibri"/>
      <b val="1"/>
      <color rgb="00FFFFFF"/>
      <sz val="13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FFFFFF"/>
      <sz val="9"/>
    </font>
    <font>
      <name val="Calibri"/>
      <b val="1"/>
      <color rgb="00000000"/>
      <sz val="8"/>
    </font>
    <font>
      <name val="Calibri"/>
      <i val="1"/>
      <color rgb="00880000"/>
      <sz val="9"/>
    </font>
    <font>
      <name val="Calibri"/>
      <b val="1"/>
      <color rgb="00FFFFFF"/>
      <sz val="8"/>
    </font>
  </fonts>
  <fills count="1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CEFF1"/>
      </patternFill>
    </fill>
    <fill>
      <patternFill patternType="solid">
        <fgColor rgb="002E6DA4"/>
      </patternFill>
    </fill>
    <fill>
      <patternFill patternType="solid">
        <fgColor rgb="00FFFDE7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E8EAF6"/>
      </patternFill>
    </fill>
    <fill>
      <patternFill patternType="solid">
        <fgColor rgb="00FFF3E0"/>
      </patternFill>
    </fill>
    <fill>
      <patternFill patternType="solid">
        <fgColor rgb="00E1F5FE"/>
      </patternFill>
    </fill>
    <fill>
      <patternFill patternType="solid">
        <fgColor rgb="00F3E5F5"/>
      </patternFill>
    </fill>
    <fill>
      <patternFill patternType="solid">
        <fgColor rgb="00FFFFF0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AFAFA"/>
      </patternFill>
    </fill>
    <fill>
      <patternFill patternType="solid">
        <fgColor rgb="00A0522D"/>
      </patternFill>
    </fill>
    <fill>
      <patternFill patternType="solid">
        <fgColor rgb="008B691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5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0" fillId="6" borderId="1" pivotButton="0" quotePrefix="0" xfId="0"/>
    <xf numFmtId="0" fontId="5" fillId="6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5" fillId="7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5" fillId="8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5" fillId="9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5" fillId="10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5" fillId="11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5" fillId="12" borderId="1" applyAlignment="1" pivotButton="0" quotePrefix="0" xfId="0">
      <alignment horizontal="left" vertical="center" wrapText="1"/>
    </xf>
    <xf numFmtId="0" fontId="0" fillId="13" borderId="1" pivotButton="0" quotePrefix="0" xfId="0"/>
    <xf numFmtId="0" fontId="5" fillId="13" borderId="1" applyAlignment="1" pivotButton="0" quotePrefix="0" xfId="0">
      <alignment horizontal="left" vertical="center" wrapText="1"/>
    </xf>
    <xf numFmtId="0" fontId="0" fillId="14" borderId="1" pivotButton="0" quotePrefix="0" xfId="0"/>
    <xf numFmtId="0" fontId="5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49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167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168" fontId="3" fillId="5" borderId="1" applyAlignment="1" pivotButton="0" quotePrefix="0" xfId="0">
      <alignment horizontal="center" vertical="center"/>
    </xf>
    <xf numFmtId="169" fontId="3" fillId="5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165" fontId="10" fillId="7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2" fontId="3" fillId="6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170" fontId="3" fillId="5" borderId="1" applyAlignment="1" pivotButton="0" quotePrefix="0" xfId="0">
      <alignment horizontal="center" vertical="center"/>
    </xf>
    <xf numFmtId="170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49" fontId="3" fillId="6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2" fontId="10" fillId="7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20" customWidth="1" min="3" max="3"/>
    <col width="40" customWidth="1" min="4" max="4"/>
  </cols>
  <sheetData>
    <row r="1" ht="30" customHeight="1">
      <c r="A1" s="1" t="inlineStr">
        <is>
          <t>Small Field Dosimetry Calibration — Instructions &amp; Color Key</t>
        </is>
      </c>
      <c r="B1" s="2" t="n"/>
      <c r="C1" s="2" t="n"/>
      <c r="D1" s="3" t="n"/>
    </row>
    <row r="2" ht="14" customHeight="1"/>
    <row r="3" ht="24" customHeight="1">
      <c r="A3" s="4" t="inlineStr">
        <is>
          <t>PROTOCOL</t>
        </is>
      </c>
      <c r="B3" s="5" t="inlineStr">
        <is>
          <t>IAEA TRS-483 (2017) + AAPM TG-155 (2021)</t>
        </is>
      </c>
      <c r="C3" s="2" t="n"/>
      <c r="D3" s="3" t="n"/>
    </row>
    <row r="4" ht="24" customHeight="1">
      <c r="A4" s="4" t="inlineStr">
        <is>
          <t>DETECTORS</t>
        </is>
      </c>
      <c r="B4" s="5" t="inlineStr">
        <is>
          <t>Farmer (ref) | Standard Imaging A16 | Sun Nuclear Edge | PTW 60019 microDiamond</t>
        </is>
      </c>
      <c r="C4" s="2" t="n"/>
      <c r="D4" s="3" t="n"/>
    </row>
    <row r="5" ht="24" customHeight="1">
      <c r="A5" s="4" t="inlineStr">
        <is>
          <t>ENERGIES</t>
        </is>
      </c>
      <c r="B5" s="5" t="inlineStr">
        <is>
          <t>6 MV WFF (Table 24) | 10 MV WFF (Table 27)</t>
        </is>
      </c>
      <c r="C5" s="2" t="n"/>
      <c r="D5" s="3" t="n"/>
    </row>
    <row r="6" ht="24" customHeight="1">
      <c r="A6" s="4" t="inlineStr">
        <is>
          <t>SETUP DEPTH</t>
        </is>
      </c>
      <c r="B6" s="5" t="inlineStr">
        <is>
          <t>10 cm in water phantom, SAD or SSD=100 cm, 10×10 cm reference field</t>
        </is>
      </c>
      <c r="C6" s="2" t="n"/>
      <c r="D6" s="3" t="n"/>
    </row>
    <row r="7" ht="24" customHeight="1">
      <c r="A7" s="4" t="inlineStr">
        <is>
          <t>FIELD SIZES</t>
        </is>
      </c>
      <c r="B7" s="5" t="inlineStr">
        <is>
          <t>Method A (≥3 cm): Farmer+A16+Edge+uDiam  |  Method B (1–3 cm): Intermediate Field Chain  |  Method C (&lt;1 cm): Edge+uDiam mandatory 2-detector</t>
        </is>
      </c>
      <c r="C7" s="2" t="n"/>
      <c r="D7" s="3" t="n"/>
    </row>
    <row r="8" ht="8" customHeight="1"/>
    <row r="9">
      <c r="A9" s="6" t="inlineStr">
        <is>
          <t>COLOR KEY</t>
        </is>
      </c>
      <c r="B9" s="2" t="n"/>
      <c r="C9" s="2" t="n"/>
      <c r="D9" s="3" t="n"/>
    </row>
    <row r="10" ht="18" customHeight="1">
      <c r="A10" s="7" t="n"/>
      <c r="B10" s="8" t="inlineStr">
        <is>
          <t>User Entry Cell</t>
        </is>
      </c>
      <c r="C10" s="9" t="inlineStr">
        <is>
          <t>Enter measurement data here</t>
        </is>
      </c>
      <c r="D10" s="3" t="n"/>
    </row>
    <row r="11" ht="18" customHeight="1">
      <c r="A11" s="10" t="n"/>
      <c r="B11" s="11" t="inlineStr">
        <is>
          <t>Calculated Cell</t>
        </is>
      </c>
      <c r="C11" s="9" t="inlineStr">
        <is>
          <t>Formula — do not overwrite</t>
        </is>
      </c>
      <c r="D11" s="3" t="n"/>
    </row>
    <row r="12" ht="18" customHeight="1">
      <c r="A12" s="12" t="n"/>
      <c r="B12" s="13" t="inlineStr">
        <is>
          <t>Result Cell</t>
        </is>
      </c>
      <c r="C12" s="9" t="inlineStr">
        <is>
          <t>Final corrected result</t>
        </is>
      </c>
      <c r="D12" s="3" t="n"/>
    </row>
    <row r="13" ht="18" customHeight="1">
      <c r="A13" s="14" t="n"/>
      <c r="B13" s="15" t="inlineStr">
        <is>
          <t>Label Cell</t>
        </is>
      </c>
      <c r="C13" s="9" t="inlineStr">
        <is>
          <t>Row / column label</t>
        </is>
      </c>
      <c r="D13" s="3" t="n"/>
    </row>
    <row r="14" ht="18" customHeight="1">
      <c r="A14" s="16" t="n"/>
      <c r="B14" s="17" t="inlineStr">
        <is>
          <t>6 MV Section</t>
        </is>
      </c>
      <c r="C14" s="9" t="inlineStr">
        <is>
          <t>Measurements at 6 MV WFF</t>
        </is>
      </c>
      <c r="D14" s="3" t="n"/>
    </row>
    <row r="15" ht="18" customHeight="1">
      <c r="A15" s="18" t="n"/>
      <c r="B15" s="19" t="inlineStr">
        <is>
          <t>10 MV Section</t>
        </is>
      </c>
      <c r="C15" s="9" t="inlineStr">
        <is>
          <t>Measurements at 10 MV WFF</t>
        </is>
      </c>
      <c r="D15" s="3" t="n"/>
    </row>
    <row r="16" ht="18" customHeight="1">
      <c r="A16" s="20" t="n"/>
      <c r="B16" s="21" t="inlineStr">
        <is>
          <t>A16 Detector Column</t>
        </is>
      </c>
      <c r="C16" s="9" t="inlineStr">
        <is>
          <t>Standard Imaging A16 readings</t>
        </is>
      </c>
      <c r="D16" s="3" t="n"/>
    </row>
    <row r="17" ht="18" customHeight="1">
      <c r="A17" s="22" t="n"/>
      <c r="B17" s="23" t="inlineStr">
        <is>
          <t>Edge Detector Column</t>
        </is>
      </c>
      <c r="C17" s="9" t="inlineStr">
        <is>
          <t>Sun Nuclear Edge readings</t>
        </is>
      </c>
      <c r="D17" s="3" t="n"/>
    </row>
    <row r="18" ht="18" customHeight="1">
      <c r="A18" s="24" t="n"/>
      <c r="B18" s="25" t="inlineStr">
        <is>
          <t>microDiamond Column</t>
        </is>
      </c>
      <c r="C18" s="9" t="inlineStr">
        <is>
          <t>PTW 60019 microDiamond readings</t>
        </is>
      </c>
      <c r="D18" s="3" t="n"/>
    </row>
    <row r="19" ht="18" customHeight="1">
      <c r="A19" s="26" t="n"/>
      <c r="B19" s="27" t="inlineStr">
        <is>
          <t>PASS</t>
        </is>
      </c>
      <c r="C19" s="9" t="inlineStr">
        <is>
          <t>Within acceptance criterion</t>
        </is>
      </c>
      <c r="D19" s="3" t="n"/>
    </row>
    <row r="20" ht="18" customHeight="1">
      <c r="A20" s="28" t="n"/>
      <c r="B20" s="29" t="inlineStr">
        <is>
          <t>FAIL / Warning</t>
        </is>
      </c>
      <c r="C20" s="9" t="inlineStr">
        <is>
          <t>Exceeds acceptance criterion — investigate</t>
        </is>
      </c>
      <c r="D20" s="3" t="n"/>
    </row>
    <row r="21" ht="8" customHeight="1"/>
    <row r="22">
      <c r="A22" s="6" t="inlineStr">
        <is>
          <t>WORKFLOW ORDER</t>
        </is>
      </c>
      <c r="B22" s="2" t="n"/>
      <c r="C22" s="2" t="n"/>
      <c r="D22" s="3" t="n"/>
    </row>
    <row r="23" ht="18" customHeight="1">
      <c r="A23" s="30" t="inlineStr">
        <is>
          <t>1. SETUP — Fill equipment IDs and calibration factors (one time)</t>
        </is>
      </c>
      <c r="B23" s="2" t="n"/>
      <c r="C23" s="2" t="n"/>
      <c r="D23" s="3" t="n"/>
    </row>
    <row r="24" ht="18" customHeight="1">
      <c r="A24" s="30" t="inlineStr">
        <is>
          <t>2. ENVIRONMENT — Record T and P before each measurement session</t>
        </is>
      </c>
      <c r="B24" s="2" t="n"/>
      <c r="C24" s="2" t="n"/>
      <c r="D24" s="3" t="n"/>
    </row>
    <row r="25" ht="18" customHeight="1">
      <c r="A25" s="30" t="inlineStr">
        <is>
          <t>3. BEAM_QUALITY — Measure TPR20,10 for each energy</t>
        </is>
      </c>
      <c r="B25" s="2" t="n"/>
      <c r="C25" s="2" t="n"/>
      <c r="D25" s="3" t="n"/>
    </row>
    <row r="26" ht="18" customHeight="1">
      <c r="A26" s="30" t="inlineStr">
        <is>
          <t>4. REF_DOSIMETRY — TRS-398 absorbed dose at reference field (Farmer)</t>
        </is>
      </c>
      <c r="B26" s="2" t="n"/>
      <c r="C26" s="2" t="n"/>
      <c r="D26" s="3" t="n"/>
    </row>
    <row r="27" ht="18" customHeight="1">
      <c r="A27" s="30" t="inlineStr">
        <is>
          <t>5. DET_CONDITIONING — Pre-irradiate detectors; check leakage and dose-rate dependence</t>
        </is>
      </c>
      <c r="B27" s="2" t="n"/>
      <c r="C27" s="2" t="n"/>
      <c r="D27" s="3" t="n"/>
    </row>
    <row r="28" ht="18" customHeight="1">
      <c r="A28" s="30" t="inlineStr">
        <is>
          <t>6. FWHM — Measure all field sizes with a scanning detector; record Sclin</t>
        </is>
      </c>
      <c r="B28" s="2" t="n"/>
      <c r="C28" s="2" t="n"/>
      <c r="D28" s="3" t="n"/>
    </row>
    <row r="29" ht="18" customHeight="1">
      <c r="A29" s="30" t="inlineStr">
        <is>
          <t>7. OF_METHOD_A — Output factors for Sclin ≥ 3 cm</t>
        </is>
      </c>
      <c r="B29" s="2" t="n"/>
      <c r="C29" s="2" t="n"/>
      <c r="D29" s="3" t="n"/>
    </row>
    <row r="30" ht="18" customHeight="1">
      <c r="A30" s="30" t="inlineStr">
        <is>
          <t>8. OF_METHOD_B — Intermediate field chain for 1 cm ≤ Sclin &lt; 3 cm</t>
        </is>
      </c>
      <c r="B30" s="2" t="n"/>
      <c r="C30" s="2" t="n"/>
      <c r="D30" s="3" t="n"/>
    </row>
    <row r="31" ht="18" customHeight="1">
      <c r="A31" s="30" t="inlineStr">
        <is>
          <t>9. OF_METHOD_C — Small field output factors for Sclin &lt; 1 cm</t>
        </is>
      </c>
      <c r="B31" s="2" t="n"/>
      <c r="C31" s="2" t="n"/>
      <c r="D31" s="3" t="n"/>
    </row>
    <row r="32" ht="18" customHeight="1">
      <c r="A32" s="30" t="inlineStr">
        <is>
          <t>10. K_FACTORS — Transcribe k_{Q_clin,Q_msr} from TRS-483 Table 24 (6MV) / Table 27 (10MV)</t>
        </is>
      </c>
      <c r="B32" s="2" t="n"/>
      <c r="C32" s="2" t="n"/>
      <c r="D32" s="3" t="n"/>
    </row>
    <row r="33" ht="18" customHeight="1">
      <c r="A33" s="30" t="inlineStr">
        <is>
          <t>11. UNCERTAINTY — Review component uncertainties</t>
        </is>
      </c>
      <c r="B33" s="2" t="n"/>
      <c r="C33" s="2" t="n"/>
      <c r="D33" s="3" t="n"/>
    </row>
    <row r="34" ht="18" customHeight="1">
      <c r="A34" s="30" t="inlineStr">
        <is>
          <t>12. SUMMARY — Final output factor table; check cross-detector agreement</t>
        </is>
      </c>
      <c r="B34" s="2" t="n"/>
      <c r="C34" s="2" t="n"/>
      <c r="D34" s="3" t="n"/>
    </row>
  </sheetData>
  <mergeCells count="31">
    <mergeCell ref="A23:D23"/>
    <mergeCell ref="A22:D22"/>
    <mergeCell ref="C15:D15"/>
    <mergeCell ref="A29:D29"/>
    <mergeCell ref="C14:D14"/>
    <mergeCell ref="A28:D28"/>
    <mergeCell ref="C20:D20"/>
    <mergeCell ref="A9:D9"/>
    <mergeCell ref="A31:D31"/>
    <mergeCell ref="C10:D10"/>
    <mergeCell ref="C16:D16"/>
    <mergeCell ref="A34:D34"/>
    <mergeCell ref="A30:D30"/>
    <mergeCell ref="A24:D24"/>
    <mergeCell ref="B6:D6"/>
    <mergeCell ref="A1:D1"/>
    <mergeCell ref="C12:D12"/>
    <mergeCell ref="B5:D5"/>
    <mergeCell ref="C11:D11"/>
    <mergeCell ref="B4:D4"/>
    <mergeCell ref="A25:D25"/>
    <mergeCell ref="B7:D7"/>
    <mergeCell ref="C17:D17"/>
    <mergeCell ref="B3:D3"/>
    <mergeCell ref="A27:D27"/>
    <mergeCell ref="A26:D26"/>
    <mergeCell ref="C19:D19"/>
    <mergeCell ref="C13:D13"/>
    <mergeCell ref="A33:D33"/>
    <mergeCell ref="C18:D18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8" customWidth="1" min="4" max="4"/>
    <col width="22" customWidth="1" min="5" max="5"/>
    <col width="18" customWidth="1" min="6" max="6"/>
  </cols>
  <sheetData>
    <row r="1" ht="26" customHeight="1">
      <c r="A1" s="31" t="inlineStr">
        <is>
          <t>Equipment Setup &amp; Calibration Constants</t>
        </is>
      </c>
      <c r="B1" s="2" t="n"/>
      <c r="C1" s="2" t="n"/>
      <c r="D1" s="2" t="n"/>
      <c r="E1" s="2" t="n"/>
      <c r="F1" s="3" t="n"/>
    </row>
    <row r="2">
      <c r="A2" s="32" t="inlineStr">
        <is>
          <t>Fill ONCE before commissioning. These values are referenced by all measurement sheets.</t>
        </is>
      </c>
    </row>
    <row r="4">
      <c r="A4" s="6" t="inlineStr">
        <is>
          <t>LINAC</t>
        </is>
      </c>
      <c r="B4" s="2" t="n"/>
      <c r="C4" s="2" t="n"/>
      <c r="D4" s="2" t="n"/>
      <c r="E4" s="2" t="n"/>
      <c r="F4" s="3" t="n"/>
    </row>
    <row r="5">
      <c r="A5" s="4" t="inlineStr">
        <is>
          <t>Model / Manufacturer</t>
        </is>
      </c>
      <c r="B5" s="33" t="n"/>
      <c r="C5" s="2" t="n"/>
      <c r="D5" s="2" t="n"/>
      <c r="E5" s="2" t="n"/>
      <c r="F5" s="3" t="n"/>
    </row>
    <row r="6">
      <c r="A6" s="4" t="inlineStr">
        <is>
          <t>Serial Number</t>
        </is>
      </c>
      <c r="B6" s="33" t="n"/>
      <c r="C6" s="2" t="n"/>
      <c r="D6" s="2" t="n"/>
      <c r="E6" s="2" t="n"/>
      <c r="F6" s="3" t="n"/>
    </row>
    <row r="7">
      <c r="A7" s="4" t="inlineStr">
        <is>
          <t>Installation Date</t>
        </is>
      </c>
      <c r="B7" s="33" t="n"/>
      <c r="C7" s="2" t="n"/>
      <c r="D7" s="2" t="n"/>
      <c r="E7" s="2" t="n"/>
      <c r="F7" s="3" t="n"/>
    </row>
    <row r="8">
      <c r="A8" s="4" t="inlineStr">
        <is>
          <t>TPS Name / Version</t>
        </is>
      </c>
      <c r="B8" s="33" t="n"/>
      <c r="C8" s="2" t="n"/>
      <c r="D8" s="2" t="n"/>
      <c r="E8" s="2" t="n"/>
      <c r="F8" s="3" t="n"/>
    </row>
    <row r="10">
      <c r="A10" s="6" t="inlineStr">
        <is>
          <t>FARMER CHAMBER  (Reference)</t>
        </is>
      </c>
      <c r="B10" s="2" t="n"/>
      <c r="C10" s="2" t="n"/>
      <c r="D10" s="2" t="n"/>
      <c r="E10" s="2" t="n"/>
      <c r="F10" s="3" t="n"/>
    </row>
    <row r="11">
      <c r="A11" s="4" t="inlineStr">
        <is>
          <t>Model</t>
        </is>
      </c>
      <c r="B11" s="4" t="inlineStr">
        <is>
          <t>Serial Number</t>
        </is>
      </c>
      <c r="C11" s="4" t="inlineStr">
        <is>
          <t>ND,w  [Gy/C]</t>
        </is>
      </c>
      <c r="D11" s="4" t="inlineStr">
        <is>
          <t>kQ  (6 MV)*</t>
        </is>
      </c>
      <c r="E11" s="4" t="inlineStr">
        <is>
          <t>kQ  (10 MV)*</t>
        </is>
      </c>
      <c r="F11" s="4" t="inlineStr">
        <is>
          <t>Cal. Date</t>
        </is>
      </c>
    </row>
    <row r="12">
      <c r="A12" s="33" t="n"/>
      <c r="B12" s="33" t="n"/>
      <c r="C12" s="34" t="n"/>
      <c r="D12" s="35" t="n"/>
      <c r="E12" s="35" t="n"/>
      <c r="F12" s="33" t="n"/>
    </row>
    <row r="13">
      <c r="A13" s="32" t="inlineStr">
        <is>
          <t>* kQ from TRS-398 Table T_II based on measured TPR20,10 — enter after BEAM_QUALITY sheet.</t>
        </is>
      </c>
    </row>
    <row r="15">
      <c r="A15" s="6" t="inlineStr">
        <is>
          <t>A16  —  Standard Imaging A16 microionization chamber</t>
        </is>
      </c>
      <c r="B15" s="2" t="n"/>
      <c r="C15" s="2" t="n"/>
      <c r="D15" s="2" t="n"/>
      <c r="E15" s="2" t="n"/>
      <c r="F15" s="3" t="n"/>
    </row>
    <row r="16">
      <c r="A16" s="4" t="inlineStr">
        <is>
          <t>Serial Number</t>
        </is>
      </c>
      <c r="B16" s="4" t="inlineStr">
        <is>
          <t>Volume [cm³]</t>
        </is>
      </c>
      <c r="C16" s="4" t="inlineStr">
        <is>
          <t>ND,w  [Gy/C]</t>
        </is>
      </c>
      <c r="D16" s="4" t="inlineStr">
        <is>
          <t>kQ  (6 MV)*</t>
        </is>
      </c>
      <c r="E16" s="4" t="inlineStr">
        <is>
          <t>kQ  (10 MV)*</t>
        </is>
      </c>
      <c r="F16" s="4" t="inlineStr">
        <is>
          <t>Cal. Date</t>
        </is>
      </c>
    </row>
    <row r="17">
      <c r="A17" s="33" t="n"/>
      <c r="B17" s="36" t="n">
        <v>0.016</v>
      </c>
      <c r="C17" s="34" t="n"/>
      <c r="D17" s="35" t="n"/>
      <c r="E17" s="35" t="n"/>
      <c r="F17" s="33" t="n"/>
    </row>
    <row r="18">
      <c r="A18" s="32" t="inlineStr">
        <is>
          <t>* If no absolute calibration: A16 is used as a relative detector; k_Qmsr from TRS-483 Table 24/27.</t>
        </is>
      </c>
    </row>
    <row r="20">
      <c r="A20" s="6" t="inlineStr">
        <is>
          <t>EDGE  —  Sun Nuclear Edge unshielded diode</t>
        </is>
      </c>
      <c r="B20" s="2" t="n"/>
      <c r="C20" s="2" t="n"/>
      <c r="D20" s="2" t="n"/>
      <c r="E20" s="2" t="n"/>
      <c r="F20" s="3" t="n"/>
    </row>
    <row r="21">
      <c r="A21" s="4" t="inlineStr">
        <is>
          <t>Serial Number</t>
        </is>
      </c>
      <c r="B21" s="4" t="inlineStr">
        <is>
          <t>Sensitive Vol. [mm³]</t>
        </is>
      </c>
      <c r="C21" s="4" t="inlineStr">
        <is>
          <t>Pre-irrad. dose [Gy]</t>
        </is>
      </c>
      <c r="D21" s="4" t="inlineStr">
        <is>
          <t>Reference DR [MU/min]</t>
        </is>
      </c>
      <c r="E21" s="4" t="inlineStr">
        <is>
          <t>Conditioning Date</t>
        </is>
      </c>
      <c r="F21" s="4" t="inlineStr">
        <is>
          <t>Notes</t>
        </is>
      </c>
    </row>
    <row r="22">
      <c r="A22" s="33" t="n"/>
      <c r="B22" s="37" t="n">
        <v>0.03</v>
      </c>
      <c r="C22" s="38" t="n">
        <v>10</v>
      </c>
      <c r="D22" s="39" t="n">
        <v>300</v>
      </c>
      <c r="E22" s="33" t="n"/>
      <c r="F22" s="33" t="n"/>
    </row>
    <row r="23">
      <c r="A23" s="32" t="inlineStr">
        <is>
          <t>Edge is used as a relative detector only — absolute dose via chain from Farmer.</t>
        </is>
      </c>
    </row>
    <row r="25">
      <c r="A25" s="6" t="inlineStr">
        <is>
          <t>microDIAMOND  —  PTW 60019</t>
        </is>
      </c>
      <c r="B25" s="2" t="n"/>
      <c r="C25" s="2" t="n"/>
      <c r="D25" s="2" t="n"/>
      <c r="E25" s="2" t="n"/>
      <c r="F25" s="3" t="n"/>
    </row>
    <row r="26">
      <c r="A26" s="4" t="inlineStr">
        <is>
          <t>Serial Number</t>
        </is>
      </c>
      <c r="B26" s="4" t="inlineStr">
        <is>
          <t>Sensitive Vol. [mm³]</t>
        </is>
      </c>
      <c r="C26" s="4" t="inlineStr">
        <is>
          <t>Pre-irrad. dose [Gy]</t>
        </is>
      </c>
      <c r="D26" s="4" t="inlineStr">
        <is>
          <t>Reference DR [MU/min]</t>
        </is>
      </c>
      <c r="E26" s="4" t="inlineStr">
        <is>
          <t>Conditioning Date</t>
        </is>
      </c>
      <c r="F26" s="4" t="inlineStr">
        <is>
          <t>Notes</t>
        </is>
      </c>
    </row>
    <row r="27">
      <c r="A27" s="33" t="n"/>
      <c r="B27" s="35" t="n">
        <v>0.004</v>
      </c>
      <c r="C27" s="38" t="n">
        <v>5</v>
      </c>
      <c r="D27" s="39" t="n">
        <v>300</v>
      </c>
      <c r="E27" s="33" t="n"/>
      <c r="F27" s="33" t="n"/>
    </row>
    <row r="28">
      <c r="A28" s="32" t="inlineStr">
        <is>
          <t>Pre-irradiate with ≥5 Gy before first use; repeat if unused &gt; 4 h.</t>
        </is>
      </c>
    </row>
    <row r="30">
      <c r="A30" s="6" t="inlineStr">
        <is>
          <t>ELECTROMETER</t>
        </is>
      </c>
      <c r="B30" s="2" t="n"/>
      <c r="C30" s="2" t="n"/>
      <c r="D30" s="2" t="n"/>
      <c r="E30" s="2" t="n"/>
      <c r="F30" s="3" t="n"/>
    </row>
    <row r="31">
      <c r="A31" s="4" t="inlineStr">
        <is>
          <t>Model</t>
        </is>
      </c>
      <c r="B31" s="4" t="inlineStr">
        <is>
          <t>Serial Number</t>
        </is>
      </c>
      <c r="C31" s="4" t="inlineStr">
        <is>
          <t>kel (electrometer factor)</t>
        </is>
      </c>
      <c r="D31" s="4" t="inlineStr">
        <is>
          <t>Cal. Date</t>
        </is>
      </c>
    </row>
    <row r="32">
      <c r="A32" s="33" t="n"/>
      <c r="B32" s="33" t="n"/>
      <c r="C32" s="35" t="n">
        <v>1</v>
      </c>
      <c r="D32" s="33" t="n"/>
    </row>
    <row r="34">
      <c r="A34" s="6" t="inlineStr">
        <is>
          <t>MEASUREMENT CONDITIONS  (Reference)</t>
        </is>
      </c>
      <c r="B34" s="2" t="n"/>
      <c r="C34" s="2" t="n"/>
      <c r="D34" s="2" t="n"/>
      <c r="E34" s="2" t="n"/>
      <c r="F34" s="3" t="n"/>
    </row>
    <row r="35">
      <c r="A35" s="4" t="inlineStr">
        <is>
          <t>Reference temperature T0 [°C]</t>
        </is>
      </c>
      <c r="B35" s="2" t="n"/>
      <c r="C35" s="3" t="n"/>
      <c r="D35" s="38" t="n">
        <v>20</v>
      </c>
    </row>
    <row r="36">
      <c r="A36" s="4" t="inlineStr">
        <is>
          <t>Reference pressure P0 [kPa]</t>
        </is>
      </c>
      <c r="B36" s="2" t="n"/>
      <c r="C36" s="3" t="n"/>
      <c r="D36" s="36" t="n">
        <v>101.325</v>
      </c>
    </row>
    <row r="37">
      <c r="A37" s="4" t="inlineStr">
        <is>
          <t>Reference depth [cm]</t>
        </is>
      </c>
      <c r="B37" s="2" t="n"/>
      <c r="C37" s="3" t="n"/>
      <c r="D37" s="38" t="n">
        <v>10</v>
      </c>
    </row>
    <row r="38">
      <c r="A38" s="4" t="inlineStr">
        <is>
          <t>SSD or SAD [cm]</t>
        </is>
      </c>
      <c r="B38" s="2" t="n"/>
      <c r="C38" s="3" t="n"/>
      <c r="D38" s="38" t="n">
        <v>100</v>
      </c>
    </row>
    <row r="39">
      <c r="A39" s="4" t="inlineStr">
        <is>
          <t>Reference MU per reading</t>
        </is>
      </c>
      <c r="B39" s="2" t="n"/>
      <c r="C39" s="3" t="n"/>
      <c r="D39" s="39" t="n">
        <v>200</v>
      </c>
    </row>
  </sheetData>
  <mergeCells count="22">
    <mergeCell ref="B7:F7"/>
    <mergeCell ref="A37:C37"/>
    <mergeCell ref="A18:F18"/>
    <mergeCell ref="A2:F2"/>
    <mergeCell ref="A23:F23"/>
    <mergeCell ref="A4:F4"/>
    <mergeCell ref="B8:F8"/>
    <mergeCell ref="A20:F20"/>
    <mergeCell ref="A35:C35"/>
    <mergeCell ref="A38:C38"/>
    <mergeCell ref="A10:F10"/>
    <mergeCell ref="A28:F28"/>
    <mergeCell ref="A13:F13"/>
    <mergeCell ref="A34:F34"/>
    <mergeCell ref="A39:C39"/>
    <mergeCell ref="A30:F30"/>
    <mergeCell ref="A15:F15"/>
    <mergeCell ref="A36:C36"/>
    <mergeCell ref="B6:F6"/>
    <mergeCell ref="A1:F1"/>
    <mergeCell ref="B5:F5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4" customWidth="1" min="4" max="4"/>
    <col width="14" customWidth="1" min="5" max="5"/>
    <col width="14" customWidth="1" min="6" max="6"/>
    <col width="50" customWidth="1" min="7" max="7"/>
  </cols>
  <sheetData>
    <row r="1">
      <c r="A1" s="31" t="inlineStr">
        <is>
          <t>Environmental Conditions — Temperature, Pressure, kTP</t>
        </is>
      </c>
      <c r="B1" s="2" t="n"/>
      <c r="C1" s="2" t="n"/>
      <c r="D1" s="2" t="n"/>
      <c r="E1" s="2" t="n"/>
      <c r="F1" s="2" t="n"/>
      <c r="G1" s="3" t="n"/>
    </row>
    <row r="2">
      <c r="A2" s="32" t="inlineStr">
        <is>
          <t>Record at start and end of each measurement session. kTP = ((273.15+T)/(273.15+T0)) × (P0/P) where T0=20 °C, P0=101.325 kPa  (values from SETUP!D rows for T0/P0).</t>
        </is>
      </c>
    </row>
    <row r="4">
      <c r="A4" s="40" t="inlineStr">
        <is>
          <t>Session #</t>
        </is>
      </c>
      <c r="B4" s="40" t="inlineStr">
        <is>
          <t>Date</t>
        </is>
      </c>
      <c r="C4" s="40" t="inlineStr">
        <is>
          <t>Time</t>
        </is>
      </c>
      <c r="D4" s="40" t="inlineStr">
        <is>
          <t>T [°C]</t>
        </is>
      </c>
      <c r="E4" s="40" t="inlineStr">
        <is>
          <t>P [kPa]</t>
        </is>
      </c>
      <c r="F4" s="40" t="inlineStr">
        <is>
          <t>kTP</t>
        </is>
      </c>
      <c r="G4" s="40" t="inlineStr">
        <is>
          <t>Notes / Session description</t>
        </is>
      </c>
    </row>
    <row r="5" ht="16" customHeight="1">
      <c r="A5" s="39" t="n">
        <v>1</v>
      </c>
      <c r="B5" s="41" t="n"/>
      <c r="C5" s="42" t="n"/>
      <c r="D5" s="38" t="n"/>
      <c r="E5" s="36" t="n"/>
      <c r="F5" s="43">
        <f>IF(AND(D5&lt;&gt;"",E5&lt;&gt;""),(273.15+D5)/(273.15+20)*101.325/E5,"")</f>
        <v/>
      </c>
      <c r="G5" s="33" t="n"/>
    </row>
    <row r="6" ht="16" customHeight="1">
      <c r="A6" s="39" t="n">
        <v>2</v>
      </c>
      <c r="B6" s="41" t="n"/>
      <c r="C6" s="42" t="n"/>
      <c r="D6" s="38" t="n"/>
      <c r="E6" s="36" t="n"/>
      <c r="F6" s="43">
        <f>IF(AND(D6&lt;&gt;"",E6&lt;&gt;""),(273.15+D6)/(273.15+20)*101.325/E6,"")</f>
        <v/>
      </c>
      <c r="G6" s="33" t="n"/>
    </row>
    <row r="7" ht="16" customHeight="1">
      <c r="A7" s="39" t="n">
        <v>3</v>
      </c>
      <c r="B7" s="41" t="n"/>
      <c r="C7" s="42" t="n"/>
      <c r="D7" s="38" t="n"/>
      <c r="E7" s="36" t="n"/>
      <c r="F7" s="43">
        <f>IF(AND(D7&lt;&gt;"",E7&lt;&gt;""),(273.15+D7)/(273.15+20)*101.325/E7,"")</f>
        <v/>
      </c>
      <c r="G7" s="33" t="n"/>
    </row>
    <row r="8" ht="16" customHeight="1">
      <c r="A8" s="39" t="n">
        <v>4</v>
      </c>
      <c r="B8" s="41" t="n"/>
      <c r="C8" s="42" t="n"/>
      <c r="D8" s="38" t="n"/>
      <c r="E8" s="36" t="n"/>
      <c r="F8" s="43">
        <f>IF(AND(D8&lt;&gt;"",E8&lt;&gt;""),(273.15+D8)/(273.15+20)*101.325/E8,"")</f>
        <v/>
      </c>
      <c r="G8" s="33" t="n"/>
    </row>
    <row r="9" ht="16" customHeight="1">
      <c r="A9" s="39" t="n">
        <v>5</v>
      </c>
      <c r="B9" s="41" t="n"/>
      <c r="C9" s="42" t="n"/>
      <c r="D9" s="38" t="n"/>
      <c r="E9" s="36" t="n"/>
      <c r="F9" s="43">
        <f>IF(AND(D9&lt;&gt;"",E9&lt;&gt;""),(273.15+D9)/(273.15+20)*101.325/E9,"")</f>
        <v/>
      </c>
      <c r="G9" s="33" t="n"/>
    </row>
    <row r="10" ht="16" customHeight="1">
      <c r="A10" s="39" t="n">
        <v>6</v>
      </c>
      <c r="B10" s="41" t="n"/>
      <c r="C10" s="42" t="n"/>
      <c r="D10" s="38" t="n"/>
      <c r="E10" s="36" t="n"/>
      <c r="F10" s="43">
        <f>IF(AND(D10&lt;&gt;"",E10&lt;&gt;""),(273.15+D10)/(273.15+20)*101.325/E10,"")</f>
        <v/>
      </c>
      <c r="G10" s="33" t="n"/>
    </row>
    <row r="11" ht="16" customHeight="1">
      <c r="A11" s="39" t="n">
        <v>7</v>
      </c>
      <c r="B11" s="41" t="n"/>
      <c r="C11" s="42" t="n"/>
      <c r="D11" s="38" t="n"/>
      <c r="E11" s="36" t="n"/>
      <c r="F11" s="43">
        <f>IF(AND(D11&lt;&gt;"",E11&lt;&gt;""),(273.15+D11)/(273.15+20)*101.325/E11,"")</f>
        <v/>
      </c>
      <c r="G11" s="33" t="n"/>
    </row>
    <row r="12" ht="16" customHeight="1">
      <c r="A12" s="39" t="n">
        <v>8</v>
      </c>
      <c r="B12" s="41" t="n"/>
      <c r="C12" s="42" t="n"/>
      <c r="D12" s="38" t="n"/>
      <c r="E12" s="36" t="n"/>
      <c r="F12" s="43">
        <f>IF(AND(D12&lt;&gt;"",E12&lt;&gt;""),(273.15+D12)/(273.15+20)*101.325/E12,"")</f>
        <v/>
      </c>
      <c r="G12" s="33" t="n"/>
    </row>
    <row r="13" ht="16" customHeight="1">
      <c r="A13" s="39" t="n">
        <v>9</v>
      </c>
      <c r="B13" s="41" t="n"/>
      <c r="C13" s="42" t="n"/>
      <c r="D13" s="38" t="n"/>
      <c r="E13" s="36" t="n"/>
      <c r="F13" s="43">
        <f>IF(AND(D13&lt;&gt;"",E13&lt;&gt;""),(273.15+D13)/(273.15+20)*101.325/E13,"")</f>
        <v/>
      </c>
      <c r="G13" s="33" t="n"/>
    </row>
    <row r="14" ht="16" customHeight="1">
      <c r="A14" s="39" t="n">
        <v>10</v>
      </c>
      <c r="B14" s="41" t="n"/>
      <c r="C14" s="42" t="n"/>
      <c r="D14" s="38" t="n"/>
      <c r="E14" s="36" t="n"/>
      <c r="F14" s="43">
        <f>IF(AND(D14&lt;&gt;"",E14&lt;&gt;""),(273.15+D14)/(273.15+20)*101.325/E14,"")</f>
        <v/>
      </c>
      <c r="G14" s="33" t="n"/>
    </row>
    <row r="15" ht="16" customHeight="1">
      <c r="A15" s="39" t="n">
        <v>11</v>
      </c>
      <c r="B15" s="41" t="n"/>
      <c r="C15" s="42" t="n"/>
      <c r="D15" s="38" t="n"/>
      <c r="E15" s="36" t="n"/>
      <c r="F15" s="43">
        <f>IF(AND(D15&lt;&gt;"",E15&lt;&gt;""),(273.15+D15)/(273.15+20)*101.325/E15,"")</f>
        <v/>
      </c>
      <c r="G15" s="33" t="n"/>
    </row>
    <row r="16" ht="16" customHeight="1">
      <c r="A16" s="39" t="n">
        <v>12</v>
      </c>
      <c r="B16" s="41" t="n"/>
      <c r="C16" s="42" t="n"/>
      <c r="D16" s="38" t="n"/>
      <c r="E16" s="36" t="n"/>
      <c r="F16" s="43">
        <f>IF(AND(D16&lt;&gt;"",E16&lt;&gt;""),(273.15+D16)/(273.15+20)*101.325/E16,"")</f>
        <v/>
      </c>
      <c r="G16" s="33" t="n"/>
    </row>
    <row r="17" ht="16" customHeight="1">
      <c r="A17" s="39" t="n">
        <v>13</v>
      </c>
      <c r="B17" s="41" t="n"/>
      <c r="C17" s="42" t="n"/>
      <c r="D17" s="38" t="n"/>
      <c r="E17" s="36" t="n"/>
      <c r="F17" s="43">
        <f>IF(AND(D17&lt;&gt;"",E17&lt;&gt;""),(273.15+D17)/(273.15+20)*101.325/E17,"")</f>
        <v/>
      </c>
      <c r="G17" s="33" t="n"/>
    </row>
    <row r="18" ht="16" customHeight="1">
      <c r="A18" s="39" t="n">
        <v>14</v>
      </c>
      <c r="B18" s="41" t="n"/>
      <c r="C18" s="42" t="n"/>
      <c r="D18" s="38" t="n"/>
      <c r="E18" s="36" t="n"/>
      <c r="F18" s="43">
        <f>IF(AND(D18&lt;&gt;"",E18&lt;&gt;""),(273.15+D18)/(273.15+20)*101.325/E18,"")</f>
        <v/>
      </c>
      <c r="G18" s="33" t="n"/>
    </row>
    <row r="19" ht="16" customHeight="1">
      <c r="A19" s="39" t="n">
        <v>15</v>
      </c>
      <c r="B19" s="41" t="n"/>
      <c r="C19" s="42" t="n"/>
      <c r="D19" s="38" t="n"/>
      <c r="E19" s="36" t="n"/>
      <c r="F19" s="43">
        <f>IF(AND(D19&lt;&gt;"",E19&lt;&gt;""),(273.15+D19)/(273.15+20)*101.325/E19,"")</f>
        <v/>
      </c>
      <c r="G19" s="33" t="n"/>
    </row>
    <row r="20" ht="16" customHeight="1">
      <c r="A20" s="39" t="n">
        <v>16</v>
      </c>
      <c r="B20" s="41" t="n"/>
      <c r="C20" s="42" t="n"/>
      <c r="D20" s="38" t="n"/>
      <c r="E20" s="36" t="n"/>
      <c r="F20" s="43">
        <f>IF(AND(D20&lt;&gt;"",E20&lt;&gt;""),(273.15+D20)/(273.15+20)*101.325/E20,"")</f>
        <v/>
      </c>
      <c r="G20" s="33" t="n"/>
    </row>
    <row r="21" ht="16" customHeight="1">
      <c r="A21" s="39" t="n">
        <v>17</v>
      </c>
      <c r="B21" s="41" t="n"/>
      <c r="C21" s="42" t="n"/>
      <c r="D21" s="38" t="n"/>
      <c r="E21" s="36" t="n"/>
      <c r="F21" s="43">
        <f>IF(AND(D21&lt;&gt;"",E21&lt;&gt;""),(273.15+D21)/(273.15+20)*101.325/E21,"")</f>
        <v/>
      </c>
      <c r="G21" s="33" t="n"/>
    </row>
    <row r="22" ht="16" customHeight="1">
      <c r="A22" s="39" t="n">
        <v>18</v>
      </c>
      <c r="B22" s="41" t="n"/>
      <c r="C22" s="42" t="n"/>
      <c r="D22" s="38" t="n"/>
      <c r="E22" s="36" t="n"/>
      <c r="F22" s="43">
        <f>IF(AND(D22&lt;&gt;"",E22&lt;&gt;""),(273.15+D22)/(273.15+20)*101.325/E22,"")</f>
        <v/>
      </c>
      <c r="G22" s="33" t="n"/>
    </row>
    <row r="23" ht="16" customHeight="1">
      <c r="A23" s="39" t="n">
        <v>19</v>
      </c>
      <c r="B23" s="41" t="n"/>
      <c r="C23" s="42" t="n"/>
      <c r="D23" s="38" t="n"/>
      <c r="E23" s="36" t="n"/>
      <c r="F23" s="43">
        <f>IF(AND(D23&lt;&gt;"",E23&lt;&gt;""),(273.15+D23)/(273.15+20)*101.325/E23,"")</f>
        <v/>
      </c>
      <c r="G23" s="33" t="n"/>
    </row>
    <row r="24" ht="16" customHeight="1">
      <c r="A24" s="39" t="n">
        <v>20</v>
      </c>
      <c r="B24" s="41" t="n"/>
      <c r="C24" s="42" t="n"/>
      <c r="D24" s="38" t="n"/>
      <c r="E24" s="36" t="n"/>
      <c r="F24" s="43">
        <f>IF(AND(D24&lt;&gt;"",E24&lt;&gt;""),(273.15+D24)/(273.15+20)*101.325/E24,"")</f>
        <v/>
      </c>
      <c r="G24" s="33" t="n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31" t="inlineStr">
        <is>
          <t>Beam Quality — TPR20,10 per Energy</t>
        </is>
      </c>
      <c r="B1" s="2" t="n"/>
      <c r="C1" s="2" t="n"/>
      <c r="D1" s="2" t="n"/>
      <c r="E1" s="2" t="n"/>
      <c r="F1" s="2" t="n"/>
      <c r="G1" s="3" t="n"/>
    </row>
    <row r="2">
      <c r="A2" s="32" t="inlineStr">
        <is>
          <t>Setup: Farmer chamber at isocentre (SSD+depth=100 cm), 10×10 cm field, 200 MU. Keep SSD constant; change depth only. kTP cancels in ratio if T,P stable.</t>
        </is>
      </c>
    </row>
    <row r="4">
      <c r="A4" s="44" t="inlineStr">
        <is>
          <t>6 MV WFF</t>
        </is>
      </c>
      <c r="B4" s="2" t="n"/>
      <c r="C4" s="2" t="n"/>
      <c r="D4" s="2" t="n"/>
      <c r="E4" s="2" t="n"/>
      <c r="F4" s="2" t="n"/>
      <c r="G4" s="3" t="n"/>
    </row>
    <row r="5">
      <c r="A5" s="40" t="inlineStr">
        <is>
          <t>Measurement</t>
        </is>
      </c>
      <c r="B5" s="40" t="inlineStr">
        <is>
          <t>Rep 1</t>
        </is>
      </c>
      <c r="C5" s="40" t="inlineStr">
        <is>
          <t>Rep 2</t>
        </is>
      </c>
      <c r="D5" s="40" t="inlineStr">
        <is>
          <t>Rep 3</t>
        </is>
      </c>
      <c r="E5" s="40" t="inlineStr">
        <is>
          <t>Mean</t>
        </is>
      </c>
      <c r="F5" s="40" t="inlineStr"/>
      <c r="G5" s="40" t="inlineStr">
        <is>
          <t>Result</t>
        </is>
      </c>
    </row>
    <row r="6">
      <c r="A6" s="45" t="inlineStr">
        <is>
          <t>M at d = 20 cm  [nC or rel]</t>
        </is>
      </c>
      <c r="B6" s="35" t="n"/>
      <c r="C6" s="35" t="n"/>
      <c r="D6" s="35" t="n"/>
      <c r="E6" s="43">
        <f>AVERAGE(B6:D6)</f>
        <v/>
      </c>
    </row>
    <row r="7">
      <c r="A7" s="45" t="inlineStr">
        <is>
          <t>M at d = 10 cm  [nC or rel]</t>
        </is>
      </c>
      <c r="B7" s="35" t="n"/>
      <c r="C7" s="35" t="n"/>
      <c r="D7" s="35" t="n"/>
      <c r="E7" s="43">
        <f>AVERAGE(B7:D7)</f>
        <v/>
      </c>
    </row>
    <row r="8">
      <c r="A8" s="45" t="inlineStr">
        <is>
          <t>TPR20,10 = M20 / M10</t>
        </is>
      </c>
      <c r="E8" s="46">
        <f>E6/E7</f>
        <v/>
      </c>
      <c r="F8" s="35" t="n"/>
      <c r="G8" s="47" t="inlineStr">
        <is>
          <t>→  Enter kQ in SETUP sheet D/E row for Farmer</t>
        </is>
      </c>
    </row>
    <row r="9">
      <c r="A9" s="32" t="inlineStr">
        <is>
          <t>Typical range for linac: TPR20,10 = 0.62–0.78. Repeat if two readings differ by &gt;0.3%.</t>
        </is>
      </c>
    </row>
    <row r="12">
      <c r="A12" s="48" t="inlineStr">
        <is>
          <t>10 MV WFF</t>
        </is>
      </c>
      <c r="B12" s="2" t="n"/>
      <c r="C12" s="2" t="n"/>
      <c r="D12" s="2" t="n"/>
      <c r="E12" s="2" t="n"/>
      <c r="F12" s="2" t="n"/>
      <c r="G12" s="3" t="n"/>
    </row>
    <row r="13">
      <c r="A13" s="40" t="inlineStr">
        <is>
          <t>Measurement</t>
        </is>
      </c>
      <c r="B13" s="40" t="inlineStr">
        <is>
          <t>Rep 1</t>
        </is>
      </c>
      <c r="C13" s="40" t="inlineStr">
        <is>
          <t>Rep 2</t>
        </is>
      </c>
      <c r="D13" s="40" t="inlineStr">
        <is>
          <t>Rep 3</t>
        </is>
      </c>
      <c r="E13" s="40" t="inlineStr">
        <is>
          <t>Mean</t>
        </is>
      </c>
      <c r="F13" s="40" t="inlineStr"/>
      <c r="G13" s="40" t="inlineStr">
        <is>
          <t>Result</t>
        </is>
      </c>
    </row>
    <row r="14">
      <c r="A14" s="49" t="inlineStr">
        <is>
          <t>M at d = 20 cm  [nC or rel]</t>
        </is>
      </c>
      <c r="B14" s="35" t="n"/>
      <c r="C14" s="35" t="n"/>
      <c r="D14" s="35" t="n"/>
      <c r="E14" s="43">
        <f>AVERAGE(B14:D14)</f>
        <v/>
      </c>
    </row>
    <row r="15">
      <c r="A15" s="49" t="inlineStr">
        <is>
          <t>M at d = 10 cm  [nC or rel]</t>
        </is>
      </c>
      <c r="B15" s="35" t="n"/>
      <c r="C15" s="35" t="n"/>
      <c r="D15" s="35" t="n"/>
      <c r="E15" s="43">
        <f>AVERAGE(B15:D15)</f>
        <v/>
      </c>
    </row>
    <row r="16">
      <c r="A16" s="49" t="inlineStr">
        <is>
          <t>TPR20,10 = M20 / M10</t>
        </is>
      </c>
      <c r="E16" s="46">
        <f>E14/E15</f>
        <v/>
      </c>
      <c r="F16" s="35" t="n"/>
      <c r="G16" s="47" t="inlineStr">
        <is>
          <t>→  Enter kQ in SETUP sheet D/E row for Farmer</t>
        </is>
      </c>
    </row>
    <row r="17">
      <c r="A17" s="32" t="inlineStr">
        <is>
          <t>Typical range for linac: TPR20,10 = 0.62–0.78. Repeat if two readings differ by &gt;0.3%.</t>
        </is>
      </c>
    </row>
  </sheetData>
  <mergeCells count="6">
    <mergeCell ref="A1:G1"/>
    <mergeCell ref="A17:G17"/>
    <mergeCell ref="A9:G9"/>
    <mergeCell ref="A12:G12"/>
    <mergeCell ref="A4:G4"/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>
      <c r="A1" s="31" t="inlineStr">
        <is>
          <t>Reference Dosimetry — TRS-398 (Farmer Chamber)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32" t="inlineStr">
        <is>
          <t>Field: 10×10 cm | Depth: 10 cm | SSD=100 cm or SAD | 200 MU. Complete Part A–D for each energy.</t>
        </is>
      </c>
    </row>
    <row r="4">
      <c r="A4" s="44" t="inlineStr">
        <is>
          <t>6 MV WFF</t>
        </is>
      </c>
      <c r="B4" s="2" t="n"/>
      <c r="C4" s="2" t="n"/>
      <c r="D4" s="2" t="n"/>
      <c r="E4" s="2" t="n"/>
      <c r="F4" s="2" t="n"/>
      <c r="G4" s="2" t="n"/>
      <c r="H4" s="2" t="n"/>
      <c r="I4" s="3" t="n"/>
    </row>
    <row r="5">
      <c r="A5" s="6" t="inlineStr">
        <is>
          <t>A — Environmental Correction</t>
        </is>
      </c>
      <c r="B5" s="2" t="n"/>
      <c r="C5" s="2" t="n"/>
      <c r="D5" s="2" t="n"/>
      <c r="E5" s="2" t="n"/>
      <c r="F5" s="2" t="n"/>
      <c r="G5" s="2" t="n"/>
      <c r="H5" s="2" t="n"/>
      <c r="I5" s="3" t="n"/>
    </row>
    <row r="6">
      <c r="A6" s="4" t="inlineStr">
        <is>
          <t>Session # (→ ENVIRONMENT sheet)</t>
        </is>
      </c>
      <c r="B6" s="39" t="n"/>
      <c r="D6" s="4" t="inlineStr">
        <is>
          <t>T [°C] from ENV</t>
        </is>
      </c>
      <c r="E6" s="38" t="n"/>
      <c r="G6" s="4" t="inlineStr">
        <is>
          <t>P [kPa] from ENV</t>
        </is>
      </c>
      <c r="H6" s="36" t="n"/>
      <c r="I6" s="32" t="inlineStr">
        <is>
          <t>Copy from ENVIRONMENT sheet for this session</t>
        </is>
      </c>
    </row>
    <row r="7">
      <c r="A7" s="4" t="inlineStr">
        <is>
          <t>kTP</t>
        </is>
      </c>
      <c r="B7" s="43">
        <f>(273.15+E6)/(273.15+20)*101.325/H6</f>
        <v/>
      </c>
    </row>
    <row r="9">
      <c r="A9" s="50" t="inlineStr">
        <is>
          <t>B — Polarity Correction  kpol</t>
        </is>
      </c>
      <c r="B9" s="2" t="n"/>
      <c r="C9" s="2" t="n"/>
      <c r="D9" s="2" t="n"/>
      <c r="E9" s="2" t="n"/>
      <c r="F9" s="2" t="n"/>
      <c r="G9" s="2" t="n"/>
      <c r="H9" s="2" t="n"/>
      <c r="I9" s="3" t="n"/>
    </row>
    <row r="10">
      <c r="A10" s="4" t="inlineStr">
        <is>
          <t>Collection voltage V1 [V]</t>
        </is>
      </c>
      <c r="B10" s="39" t="n">
        <v>300</v>
      </c>
      <c r="D10" s="4" t="inlineStr">
        <is>
          <t>Reversed voltage −V1 [V]</t>
        </is>
      </c>
      <c r="E10" s="39" t="n">
        <v>-300</v>
      </c>
    </row>
    <row r="11">
      <c r="A11" s="4" t="inlineStr"/>
      <c r="B11" s="4" t="inlineStr">
        <is>
          <t>Rep 1</t>
        </is>
      </c>
      <c r="C11" s="4" t="inlineStr">
        <is>
          <t>Rep 2</t>
        </is>
      </c>
      <c r="D11" s="4" t="inlineStr">
        <is>
          <t>Rep 3</t>
        </is>
      </c>
      <c r="E11" s="40" t="inlineStr">
        <is>
          <t>Mean</t>
        </is>
      </c>
    </row>
    <row r="12">
      <c r="A12" s="45" t="inlineStr">
        <is>
          <t>M(+V1)  [nC]</t>
        </is>
      </c>
      <c r="B12" s="35" t="n"/>
      <c r="C12" s="35" t="n"/>
      <c r="D12" s="35" t="n"/>
      <c r="E12" s="43">
        <f>AVERAGE(B12:D12)</f>
        <v/>
      </c>
    </row>
    <row r="13">
      <c r="A13" s="45" t="inlineStr">
        <is>
          <t>M(−V1)  [nC]  (enter with sign)</t>
        </is>
      </c>
      <c r="B13" s="35" t="n"/>
      <c r="C13" s="35" t="n"/>
      <c r="D13" s="35" t="n"/>
      <c r="E13" s="43">
        <f>AVERAGE(B13:D13)</f>
        <v/>
      </c>
    </row>
    <row r="14">
      <c r="A14" s="4" t="inlineStr">
        <is>
          <t>kpol = (M(+V1)+|M(−V1)|) / (2×M(+V1))</t>
        </is>
      </c>
      <c r="B14" s="46">
        <f>(E12+ABS(E13))/(2*E12)</f>
        <v/>
      </c>
      <c r="D14" s="32" t="inlineStr">
        <is>
          <t>Should be within 1.000 ± 0.005 for Farmer in MV beams.</t>
        </is>
      </c>
    </row>
    <row r="16">
      <c r="A16" s="50" t="inlineStr">
        <is>
          <t>C — Ion Recombination  ks  (Two-Voltage Method, pulsed beams)</t>
        </is>
      </c>
      <c r="B16" s="2" t="n"/>
      <c r="C16" s="2" t="n"/>
      <c r="D16" s="2" t="n"/>
      <c r="E16" s="2" t="n"/>
      <c r="F16" s="2" t="n"/>
      <c r="G16" s="2" t="n"/>
      <c r="H16" s="2" t="n"/>
      <c r="I16" s="3" t="n"/>
    </row>
    <row r="17">
      <c r="A17" s="4" t="inlineStr">
        <is>
          <t>V1 [V]</t>
        </is>
      </c>
      <c r="B17" s="39" t="n">
        <v>300</v>
      </c>
      <c r="D17" s="4" t="inlineStr">
        <is>
          <t>V2 [V]  (V1/V2 = 2)</t>
        </is>
      </c>
      <c r="E17" s="39" t="n">
        <v>150</v>
      </c>
    </row>
    <row r="18">
      <c r="A18" s="4" t="inlineStr"/>
      <c r="B18" s="4" t="inlineStr">
        <is>
          <t>Rep 1</t>
        </is>
      </c>
      <c r="C18" s="4" t="inlineStr">
        <is>
          <t>Rep 2</t>
        </is>
      </c>
      <c r="D18" s="4" t="inlineStr">
        <is>
          <t>Rep 3</t>
        </is>
      </c>
      <c r="E18" s="4" t="inlineStr">
        <is>
          <t>Mean</t>
        </is>
      </c>
    </row>
    <row r="19">
      <c r="A19" s="45" t="inlineStr">
        <is>
          <t>M(V1)  [nC]</t>
        </is>
      </c>
      <c r="B19" s="35" t="n"/>
      <c r="C19" s="35" t="n"/>
      <c r="D19" s="35" t="n"/>
      <c r="E19" s="43">
        <f>AVERAGE(B19:D19)</f>
        <v/>
      </c>
    </row>
    <row r="20">
      <c r="A20" s="45" t="inlineStr">
        <is>
          <t>M(V2)  [nC]</t>
        </is>
      </c>
      <c r="B20" s="35" t="n"/>
      <c r="C20" s="35" t="n"/>
      <c r="D20" s="35" t="n"/>
      <c r="E20" s="43">
        <f>AVERAGE(B20:D20)</f>
        <v/>
      </c>
    </row>
    <row r="21">
      <c r="A21" s="4" t="inlineStr">
        <is>
          <t>r = M(V1)/M(V2)</t>
        </is>
      </c>
      <c r="B21" s="43">
        <f>E19/E20</f>
        <v/>
      </c>
    </row>
    <row r="22">
      <c r="A22" s="4" t="inlineStr">
        <is>
          <t>ks  (TRS-398 Eq. T.IV, pulsed beams)</t>
        </is>
      </c>
      <c r="B22" s="46">
        <f>2.337+(-3.636)*B21+2.299*B21^2</f>
        <v/>
      </c>
      <c r="D22" s="32" t="inlineStr">
        <is>
          <t>Coefficients valid for V1/V2=2. ks should be &lt;1.010 at 300/150 V.</t>
        </is>
      </c>
    </row>
    <row r="24">
      <c r="A24" s="50" t="inlineStr">
        <is>
          <t>D — Absorbed Dose to Water  Dw</t>
        </is>
      </c>
      <c r="B24" s="2" t="n"/>
      <c r="C24" s="2" t="n"/>
      <c r="D24" s="2" t="n"/>
      <c r="E24" s="2" t="n"/>
      <c r="F24" s="2" t="n"/>
      <c r="G24" s="2" t="n"/>
      <c r="H24" s="2" t="n"/>
      <c r="I24" s="3" t="n"/>
    </row>
    <row r="25">
      <c r="A25" s="4" t="inlineStr"/>
      <c r="B25" s="4" t="inlineStr">
        <is>
          <t>Rep 1</t>
        </is>
      </c>
      <c r="C25" s="4" t="inlineStr">
        <is>
          <t>Rep 2</t>
        </is>
      </c>
      <c r="D25" s="4" t="inlineStr">
        <is>
          <t>Rep 3</t>
        </is>
      </c>
      <c r="E25" s="4" t="inlineStr">
        <is>
          <t>Rep 4</t>
        </is>
      </c>
      <c r="F25" s="4" t="inlineStr">
        <is>
          <t>Rep 5</t>
        </is>
      </c>
      <c r="G25" s="4" t="inlineStr">
        <is>
          <t>Mean</t>
        </is>
      </c>
      <c r="H25" s="4" t="inlineStr">
        <is>
          <t>SD [nC]</t>
        </is>
      </c>
      <c r="I25" s="4" t="inlineStr">
        <is>
          <t>CV [%]</t>
        </is>
      </c>
    </row>
    <row r="26">
      <c r="A26" s="45" t="inlineStr">
        <is>
          <t>M_raw  [nC]  at V1, +polarity</t>
        </is>
      </c>
      <c r="B26" s="35" t="n"/>
      <c r="C26" s="35" t="n"/>
      <c r="D26" s="35" t="n"/>
      <c r="E26" s="35" t="n"/>
      <c r="F26" s="35" t="n"/>
      <c r="G26" s="43">
        <f>AVERAGE(B26:F26)</f>
        <v/>
      </c>
      <c r="H26" s="43">
        <f>STDEV(B26:F26)</f>
        <v/>
      </c>
      <c r="I26" s="51">
        <f>IF(G26&lt;&gt;0,H26/G26*100,"")</f>
        <v/>
      </c>
    </row>
    <row r="27">
      <c r="A27" s="4" t="inlineStr">
        <is>
          <t>kel (electrometer factor, from SETUP)</t>
        </is>
      </c>
      <c r="B27" s="35" t="n"/>
    </row>
    <row r="28">
      <c r="A28" s="4" t="inlineStr">
        <is>
          <t>M_corrected = M_raw × kTP × kpol × ks × kel</t>
        </is>
      </c>
      <c r="B28" s="52">
        <f>G26*B7*B14*B22*B27</f>
        <v/>
      </c>
    </row>
    <row r="29">
      <c r="A29" s="4" t="inlineStr">
        <is>
          <t>ND,w  [Gy/C]  (from SETUP Farmer row)</t>
        </is>
      </c>
      <c r="B29" s="34" t="n"/>
    </row>
    <row r="30">
      <c r="A30" s="4" t="inlineStr">
        <is>
          <t>kQ  (from SETUP / BEAM_QUALITY)</t>
        </is>
      </c>
      <c r="B30" s="35" t="n"/>
    </row>
    <row r="31">
      <c r="A31" s="4" t="inlineStr">
        <is>
          <t>Dw  [Gy per reading] = Mcorr × ND,w × kQ</t>
        </is>
      </c>
      <c r="B31" s="52">
        <f>B28*B29*B30</f>
        <v/>
      </c>
    </row>
    <row r="32">
      <c r="A32" s="4" t="inlineStr">
        <is>
          <t>Output  [cGy/MU] = Dw × 100 / MU_per_reading</t>
        </is>
      </c>
      <c r="B32" s="43">
        <f>B31*100/C32</f>
        <v/>
      </c>
      <c r="C32" s="39" t="n">
        <v>200</v>
      </c>
      <c r="D32" s="32" t="inlineStr">
        <is>
          <t>Target: 1.000 cGy/MU at reference conditions (may differ by ±2% before output tuning).</t>
        </is>
      </c>
    </row>
    <row r="35">
      <c r="A35" s="44" t="inlineStr">
        <is>
          <t>10 MV WFF</t>
        </is>
      </c>
      <c r="B35" s="2" t="n"/>
      <c r="C35" s="2" t="n"/>
      <c r="D35" s="2" t="n"/>
      <c r="E35" s="2" t="n"/>
      <c r="F35" s="2" t="n"/>
      <c r="G35" s="2" t="n"/>
      <c r="H35" s="2" t="n"/>
      <c r="I35" s="3" t="n"/>
    </row>
    <row r="36">
      <c r="A36" s="53" t="inlineStr">
        <is>
          <t>A — Environmental Correction</t>
        </is>
      </c>
      <c r="B36" s="2" t="n"/>
      <c r="C36" s="2" t="n"/>
      <c r="D36" s="2" t="n"/>
      <c r="E36" s="2" t="n"/>
      <c r="F36" s="2" t="n"/>
      <c r="G36" s="2" t="n"/>
      <c r="H36" s="2" t="n"/>
      <c r="I36" s="3" t="n"/>
    </row>
    <row r="37">
      <c r="A37" s="4" t="inlineStr">
        <is>
          <t>Session # (→ ENVIRONMENT sheet)</t>
        </is>
      </c>
      <c r="B37" s="39" t="n"/>
      <c r="D37" s="4" t="inlineStr">
        <is>
          <t>T [°C] from ENV</t>
        </is>
      </c>
      <c r="E37" s="38" t="n"/>
      <c r="G37" s="4" t="inlineStr">
        <is>
          <t>P [kPa] from ENV</t>
        </is>
      </c>
      <c r="H37" s="36" t="n"/>
      <c r="I37" s="32" t="inlineStr">
        <is>
          <t>Copy from ENVIRONMENT sheet for this session</t>
        </is>
      </c>
    </row>
    <row r="38">
      <c r="A38" s="4" t="inlineStr">
        <is>
          <t>kTP</t>
        </is>
      </c>
      <c r="B38" s="43">
        <f>(273.15+E37)/(273.15+20)*101.325/H37</f>
        <v/>
      </c>
    </row>
    <row r="40">
      <c r="A40" s="54" t="inlineStr">
        <is>
          <t>B — Polarity Correction  kpol</t>
        </is>
      </c>
      <c r="B40" s="2" t="n"/>
      <c r="C40" s="2" t="n"/>
      <c r="D40" s="2" t="n"/>
      <c r="E40" s="2" t="n"/>
      <c r="F40" s="2" t="n"/>
      <c r="G40" s="2" t="n"/>
      <c r="H40" s="2" t="n"/>
      <c r="I40" s="3" t="n"/>
    </row>
    <row r="41">
      <c r="A41" s="4" t="inlineStr">
        <is>
          <t>Collection voltage V1 [V]</t>
        </is>
      </c>
      <c r="B41" s="39" t="n">
        <v>300</v>
      </c>
      <c r="D41" s="4" t="inlineStr">
        <is>
          <t>Reversed voltage −V1 [V]</t>
        </is>
      </c>
      <c r="E41" s="39" t="n">
        <v>-300</v>
      </c>
    </row>
    <row r="42">
      <c r="A42" s="4" t="inlineStr"/>
      <c r="B42" s="4" t="inlineStr">
        <is>
          <t>Rep 1</t>
        </is>
      </c>
      <c r="C42" s="4" t="inlineStr">
        <is>
          <t>Rep 2</t>
        </is>
      </c>
      <c r="D42" s="4" t="inlineStr">
        <is>
          <t>Rep 3</t>
        </is>
      </c>
      <c r="E42" s="40" t="inlineStr">
        <is>
          <t>Mean</t>
        </is>
      </c>
    </row>
    <row r="43">
      <c r="A43" s="49" t="inlineStr">
        <is>
          <t>M(+V1)  [nC]</t>
        </is>
      </c>
      <c r="B43" s="35" t="n"/>
      <c r="C43" s="35" t="n"/>
      <c r="D43" s="35" t="n"/>
      <c r="E43" s="43">
        <f>AVERAGE(B43:D43)</f>
        <v/>
      </c>
    </row>
    <row r="44">
      <c r="A44" s="49" t="inlineStr">
        <is>
          <t>M(−V1)  [nC]  (enter with sign)</t>
        </is>
      </c>
      <c r="B44" s="35" t="n"/>
      <c r="C44" s="35" t="n"/>
      <c r="D44" s="35" t="n"/>
      <c r="E44" s="43">
        <f>AVERAGE(B44:D44)</f>
        <v/>
      </c>
    </row>
    <row r="45">
      <c r="A45" s="4" t="inlineStr">
        <is>
          <t>kpol = (M(+V1)+|M(−V1)|) / (2×M(+V1))</t>
        </is>
      </c>
      <c r="B45" s="46">
        <f>(E43+ABS(E44))/(2*E43)</f>
        <v/>
      </c>
      <c r="D45" s="32" t="inlineStr">
        <is>
          <t>Should be within 1.000 ± 0.005 for Farmer in MV beams.</t>
        </is>
      </c>
    </row>
    <row r="47">
      <c r="A47" s="54" t="inlineStr">
        <is>
          <t>C — Ion Recombination  ks  (Two-Voltage Method, pulsed beams)</t>
        </is>
      </c>
      <c r="B47" s="2" t="n"/>
      <c r="C47" s="2" t="n"/>
      <c r="D47" s="2" t="n"/>
      <c r="E47" s="2" t="n"/>
      <c r="F47" s="2" t="n"/>
      <c r="G47" s="2" t="n"/>
      <c r="H47" s="2" t="n"/>
      <c r="I47" s="3" t="n"/>
    </row>
    <row r="48">
      <c r="A48" s="4" t="inlineStr">
        <is>
          <t>V1 [V]</t>
        </is>
      </c>
      <c r="B48" s="39" t="n">
        <v>300</v>
      </c>
      <c r="D48" s="4" t="inlineStr">
        <is>
          <t>V2 [V]  (V1/V2 = 2)</t>
        </is>
      </c>
      <c r="E48" s="39" t="n">
        <v>150</v>
      </c>
    </row>
    <row r="49">
      <c r="A49" s="4" t="inlineStr"/>
      <c r="B49" s="4" t="inlineStr">
        <is>
          <t>Rep 1</t>
        </is>
      </c>
      <c r="C49" s="4" t="inlineStr">
        <is>
          <t>Rep 2</t>
        </is>
      </c>
      <c r="D49" s="4" t="inlineStr">
        <is>
          <t>Rep 3</t>
        </is>
      </c>
      <c r="E49" s="4" t="inlineStr">
        <is>
          <t>Mean</t>
        </is>
      </c>
    </row>
    <row r="50">
      <c r="A50" s="49" t="inlineStr">
        <is>
          <t>M(V1)  [nC]</t>
        </is>
      </c>
      <c r="B50" s="35" t="n"/>
      <c r="C50" s="35" t="n"/>
      <c r="D50" s="35" t="n"/>
      <c r="E50" s="43">
        <f>AVERAGE(B50:D50)</f>
        <v/>
      </c>
    </row>
    <row r="51">
      <c r="A51" s="49" t="inlineStr">
        <is>
          <t>M(V2)  [nC]</t>
        </is>
      </c>
      <c r="B51" s="35" t="n"/>
      <c r="C51" s="35" t="n"/>
      <c r="D51" s="35" t="n"/>
      <c r="E51" s="43">
        <f>AVERAGE(B51:D51)</f>
        <v/>
      </c>
    </row>
    <row r="52">
      <c r="A52" s="4" t="inlineStr">
        <is>
          <t>r = M(V1)/M(V2)</t>
        </is>
      </c>
      <c r="B52" s="43">
        <f>E50/E51</f>
        <v/>
      </c>
    </row>
    <row r="53">
      <c r="A53" s="4" t="inlineStr">
        <is>
          <t>ks  (TRS-398 Eq. T.IV, pulsed beams)</t>
        </is>
      </c>
      <c r="B53" s="46">
        <f>2.337+(-3.636)*B52+2.299*B52^2</f>
        <v/>
      </c>
      <c r="D53" s="32" t="inlineStr">
        <is>
          <t>Coefficients valid for V1/V2=2. ks should be &lt;1.010 at 300/150 V.</t>
        </is>
      </c>
    </row>
    <row r="55">
      <c r="A55" s="54" t="inlineStr">
        <is>
          <t>D — Absorbed Dose to Water  Dw</t>
        </is>
      </c>
      <c r="B55" s="2" t="n"/>
      <c r="C55" s="2" t="n"/>
      <c r="D55" s="2" t="n"/>
      <c r="E55" s="2" t="n"/>
      <c r="F55" s="2" t="n"/>
      <c r="G55" s="2" t="n"/>
      <c r="H55" s="2" t="n"/>
      <c r="I55" s="3" t="n"/>
    </row>
    <row r="56">
      <c r="A56" s="4" t="inlineStr"/>
      <c r="B56" s="4" t="inlineStr">
        <is>
          <t>Rep 1</t>
        </is>
      </c>
      <c r="C56" s="4" t="inlineStr">
        <is>
          <t>Rep 2</t>
        </is>
      </c>
      <c r="D56" s="4" t="inlineStr">
        <is>
          <t>Rep 3</t>
        </is>
      </c>
      <c r="E56" s="4" t="inlineStr">
        <is>
          <t>Rep 4</t>
        </is>
      </c>
      <c r="F56" s="4" t="inlineStr">
        <is>
          <t>Rep 5</t>
        </is>
      </c>
      <c r="G56" s="4" t="inlineStr">
        <is>
          <t>Mean</t>
        </is>
      </c>
      <c r="H56" s="4" t="inlineStr">
        <is>
          <t>SD [nC]</t>
        </is>
      </c>
      <c r="I56" s="4" t="inlineStr">
        <is>
          <t>CV [%]</t>
        </is>
      </c>
    </row>
    <row r="57">
      <c r="A57" s="49" t="inlineStr">
        <is>
          <t>M_raw  [nC]  at V1, +polarity</t>
        </is>
      </c>
      <c r="B57" s="35" t="n"/>
      <c r="C57" s="35" t="n"/>
      <c r="D57" s="35" t="n"/>
      <c r="E57" s="35" t="n"/>
      <c r="F57" s="35" t="n"/>
      <c r="G57" s="43">
        <f>AVERAGE(B57:F57)</f>
        <v/>
      </c>
      <c r="H57" s="43">
        <f>STDEV(B57:F57)</f>
        <v/>
      </c>
      <c r="I57" s="51">
        <f>IF(G57&lt;&gt;0,H57/G57*100,"")</f>
        <v/>
      </c>
    </row>
    <row r="58">
      <c r="A58" s="4" t="inlineStr">
        <is>
          <t>kel (electrometer factor, from SETUP)</t>
        </is>
      </c>
      <c r="B58" s="35" t="n"/>
    </row>
    <row r="59">
      <c r="A59" s="4" t="inlineStr">
        <is>
          <t>M_corrected = M_raw × kTP × kpol × ks × kel</t>
        </is>
      </c>
      <c r="B59" s="52">
        <f>G57*B38*B45*B53*B58</f>
        <v/>
      </c>
    </row>
    <row r="60">
      <c r="A60" s="4" t="inlineStr">
        <is>
          <t>ND,w  [Gy/C]  (from SETUP Farmer row)</t>
        </is>
      </c>
      <c r="B60" s="34" t="n"/>
    </row>
    <row r="61">
      <c r="A61" s="4" t="inlineStr">
        <is>
          <t>kQ  (from SETUP / BEAM_QUALITY)</t>
        </is>
      </c>
      <c r="B61" s="35" t="n"/>
    </row>
    <row r="62">
      <c r="A62" s="4" t="inlineStr">
        <is>
          <t>Dw  [Gy per reading] = Mcorr × ND,w × kQ</t>
        </is>
      </c>
      <c r="B62" s="52">
        <f>B59*B60*B61</f>
        <v/>
      </c>
    </row>
    <row r="63">
      <c r="A63" s="4" t="inlineStr">
        <is>
          <t>Output  [cGy/MU] = Dw × 100 / MU_per_reading</t>
        </is>
      </c>
      <c r="B63" s="43">
        <f>B62*100/C63</f>
        <v/>
      </c>
      <c r="C63" s="39" t="n">
        <v>200</v>
      </c>
      <c r="D63" s="32" t="inlineStr">
        <is>
          <t>Target: 1.000 cGy/MU at reference conditions (may differ by ±2% before output tuning).</t>
        </is>
      </c>
    </row>
  </sheetData>
  <mergeCells count="18">
    <mergeCell ref="D63:I63"/>
    <mergeCell ref="A2:I2"/>
    <mergeCell ref="D14:I14"/>
    <mergeCell ref="A5:I5"/>
    <mergeCell ref="D32:I32"/>
    <mergeCell ref="D22:I22"/>
    <mergeCell ref="A36:I36"/>
    <mergeCell ref="A47:I47"/>
    <mergeCell ref="A1:I1"/>
    <mergeCell ref="A40:I40"/>
    <mergeCell ref="A9:I9"/>
    <mergeCell ref="D45:I45"/>
    <mergeCell ref="A55:I55"/>
    <mergeCell ref="A35:I35"/>
    <mergeCell ref="A4:I4"/>
    <mergeCell ref="D53:I53"/>
    <mergeCell ref="A24:I24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0" customWidth="1" min="7" max="7"/>
  </cols>
  <sheetData>
    <row r="1">
      <c r="A1" s="31" t="inlineStr">
        <is>
          <t>Detector Pre-conditioning, Leakage &amp; Dose-Rate Dependence</t>
        </is>
      </c>
      <c r="B1" s="2" t="n"/>
      <c r="C1" s="2" t="n"/>
      <c r="D1" s="2" t="n"/>
      <c r="E1" s="2" t="n"/>
      <c r="F1" s="2" t="n"/>
      <c r="G1" s="3" t="n"/>
    </row>
    <row r="2">
      <c r="A2" s="32" t="inlineStr">
        <is>
          <t>Complete for every detector BEFORE output factor measurements. Re-do after detector storage &gt; 4 h.</t>
        </is>
      </c>
    </row>
    <row r="4">
      <c r="A4" s="44" t="inlineStr">
        <is>
          <t>A16  —  Standard Imaging A16</t>
        </is>
      </c>
      <c r="B4" s="2" t="n"/>
      <c r="C4" s="2" t="n"/>
      <c r="D4" s="2" t="n"/>
      <c r="E4" s="2" t="n"/>
      <c r="F4" s="2" t="n"/>
      <c r="G4" s="3" t="n"/>
    </row>
    <row r="5">
      <c r="A5" s="55" t="inlineStr">
        <is>
          <t>A — Pre-irradiation Conditioning</t>
        </is>
      </c>
      <c r="B5" s="2" t="n"/>
      <c r="C5" s="2" t="n"/>
      <c r="D5" s="2" t="n"/>
      <c r="E5" s="2" t="n"/>
      <c r="F5" s="2" t="n"/>
      <c r="G5" s="3" t="n"/>
    </row>
    <row r="6">
      <c r="A6" s="4" t="inlineStr">
        <is>
          <t>Required pre-irrad. dose</t>
        </is>
      </c>
      <c r="B6" s="56" t="inlineStr">
        <is>
          <t>0 Gy (ion chamber — no conditioning required)</t>
        </is>
      </c>
      <c r="C6" s="2" t="n"/>
      <c r="D6" s="2" t="n"/>
      <c r="E6" s="2" t="n"/>
      <c r="F6" s="3" t="n"/>
    </row>
    <row r="7">
      <c r="A7" s="4" t="inlineStr">
        <is>
          <t>Energy / field used</t>
        </is>
      </c>
      <c r="B7" s="33" t="n"/>
      <c r="C7" s="4" t="inlineStr">
        <is>
          <t>MU delivered</t>
        </is>
      </c>
      <c r="D7" s="39" t="n"/>
      <c r="E7" s="4" t="inlineStr">
        <is>
          <t>Date / Time</t>
        </is>
      </c>
      <c r="F7" s="33" t="n"/>
    </row>
    <row r="8">
      <c r="A8" s="4" t="inlineStr">
        <is>
          <t>Conditioning readings (stability check)</t>
        </is>
      </c>
      <c r="B8" s="4" t="inlineStr">
        <is>
          <t>Rep 1</t>
        </is>
      </c>
      <c r="C8" s="4" t="inlineStr">
        <is>
          <t>Rep 2</t>
        </is>
      </c>
      <c r="D8" s="4" t="inlineStr">
        <is>
          <t>Rep 3</t>
        </is>
      </c>
      <c r="E8" s="4" t="inlineStr">
        <is>
          <t>Mean</t>
        </is>
      </c>
      <c r="F8" s="4" t="inlineStr">
        <is>
          <t>CV [%]</t>
        </is>
      </c>
    </row>
    <row r="9">
      <c r="A9" s="57" t="inlineStr">
        <is>
          <t>Reading  [nC or rel]</t>
        </is>
      </c>
      <c r="B9" s="58" t="n"/>
      <c r="C9" s="58" t="n"/>
      <c r="D9" s="58" t="n"/>
      <c r="E9" s="59">
        <f>AVERAGE(B9:D9)</f>
        <v/>
      </c>
      <c r="F9" s="60">
        <f>IF(E9&gt;0,STDEV(B9:D9)/E9*100,"")</f>
        <v/>
      </c>
      <c r="G9" s="32" t="inlineStr">
        <is>
          <t>CV should be &lt;0.3% after sufficient conditioning.</t>
        </is>
      </c>
    </row>
    <row r="11">
      <c r="A11" s="55" t="inlineStr">
        <is>
          <t>B — Leakage Current Check</t>
        </is>
      </c>
      <c r="B11" s="2" t="n"/>
      <c r="C11" s="2" t="n"/>
      <c r="D11" s="2" t="n"/>
      <c r="E11" s="2" t="n"/>
      <c r="F11" s="2" t="n"/>
      <c r="G11" s="3" t="n"/>
    </row>
    <row r="12">
      <c r="A12" s="4" t="inlineStr"/>
      <c r="B12" s="4" t="inlineStr">
        <is>
          <t>Rep 1</t>
        </is>
      </c>
      <c r="C12" s="4" t="inlineStr">
        <is>
          <t>Rep 2</t>
        </is>
      </c>
      <c r="D12" s="4" t="inlineStr">
        <is>
          <t>Rep 3</t>
        </is>
      </c>
      <c r="E12" s="4" t="inlineStr">
        <is>
          <t>Mean [nC]</t>
        </is>
      </c>
      <c r="F12" s="4" t="inlineStr">
        <is>
          <t>Normal signal [nC]</t>
        </is>
      </c>
      <c r="G12" s="4" t="inlineStr">
        <is>
          <t>Leakage [%]</t>
        </is>
      </c>
    </row>
    <row r="13">
      <c r="A13" s="57" t="inlineStr">
        <is>
          <t>Leakage (no beam)</t>
        </is>
      </c>
      <c r="B13" s="58" t="n"/>
      <c r="C13" s="58" t="n"/>
      <c r="D13" s="58" t="n"/>
      <c r="E13" s="59">
        <f>AVERAGE(B13:D13)</f>
        <v/>
      </c>
      <c r="F13" s="58" t="n"/>
      <c r="G13" s="60">
        <f>IF(F13&gt;0,ABS(E13)/F13*100,"")</f>
        <v/>
      </c>
    </row>
    <row r="14">
      <c r="A14" s="32" t="inlineStr">
        <is>
          <t>Acceptance: leakage &lt; 0.5% of normal signal. Subtract from all readings if &gt;0.1%.</t>
        </is>
      </c>
    </row>
    <row r="16">
      <c r="A16" s="55" t="inlineStr">
        <is>
          <t>C — Dose-Rate Dependence</t>
        </is>
      </c>
      <c r="B16" s="2" t="n"/>
      <c r="C16" s="2" t="n"/>
      <c r="D16" s="2" t="n"/>
      <c r="E16" s="2" t="n"/>
      <c r="F16" s="2" t="n"/>
      <c r="G16" s="3" t="n"/>
    </row>
    <row r="17">
      <c r="A17" s="32" t="inlineStr">
        <is>
          <t>Reference dose rate: 300 MU/min. Test at 5 levels. Acceptance: &lt;1.0% variation.</t>
        </is>
      </c>
    </row>
    <row r="18">
      <c r="A18" s="4" t="inlineStr">
        <is>
          <t>Dose rate [MU/min]</t>
        </is>
      </c>
      <c r="B18" s="4" t="inlineStr">
        <is>
          <t>Rep 1</t>
        </is>
      </c>
      <c r="C18" s="4" t="inlineStr">
        <is>
          <t>Rep 2</t>
        </is>
      </c>
      <c r="D18" s="4" t="inlineStr">
        <is>
          <t>Rep 3</t>
        </is>
      </c>
      <c r="E18" s="4" t="inlineStr">
        <is>
          <t>Mean</t>
        </is>
      </c>
      <c r="F18" s="4" t="inlineStr">
        <is>
          <t>Norm. to ref.</t>
        </is>
      </c>
      <c r="G18" s="4" t="inlineStr">
        <is>
          <t>Deviation [%]</t>
        </is>
      </c>
    </row>
    <row r="19">
      <c r="A19" s="57" t="inlineStr">
        <is>
          <t>100</t>
        </is>
      </c>
      <c r="B19" s="58" t="n"/>
      <c r="C19" s="58" t="n"/>
      <c r="D19" s="58" t="n"/>
      <c r="E19" s="59">
        <f>AVERAGE(B19:D19)</f>
        <v/>
      </c>
      <c r="F19" s="43" t="inlineStr">
        <is>
          <t>""</t>
        </is>
      </c>
      <c r="G19" s="60">
        <f>IF(F19&lt;&gt;"", (F19-1)*100,"")</f>
        <v/>
      </c>
    </row>
    <row r="20">
      <c r="A20" s="57" t="inlineStr">
        <is>
          <t>200</t>
        </is>
      </c>
      <c r="B20" s="58" t="n"/>
      <c r="C20" s="58" t="n"/>
      <c r="D20" s="58" t="n"/>
      <c r="E20" s="59">
        <f>AVERAGE(B20:D20)</f>
        <v/>
      </c>
      <c r="F20" s="43" t="inlineStr">
        <is>
          <t>""</t>
        </is>
      </c>
      <c r="G20" s="60">
        <f>IF(F20&lt;&gt;"", (F20-1)*100,"")</f>
        <v/>
      </c>
    </row>
    <row r="21">
      <c r="A21" s="57" t="inlineStr">
        <is>
          <t>300</t>
        </is>
      </c>
      <c r="B21" s="58" t="n"/>
      <c r="C21" s="58" t="n"/>
      <c r="D21" s="58" t="n"/>
      <c r="E21" s="59">
        <f>AVERAGE(B21:D21)</f>
        <v/>
      </c>
      <c r="F21" s="43" t="inlineStr">
        <is>
          <t>1.0000</t>
        </is>
      </c>
      <c r="G21" s="60" t="inlineStr">
        <is>
          <t>0.000</t>
        </is>
      </c>
    </row>
    <row r="22">
      <c r="A22" s="57" t="inlineStr">
        <is>
          <t>400</t>
        </is>
      </c>
      <c r="B22" s="58" t="n"/>
      <c r="C22" s="58" t="n"/>
      <c r="D22" s="58" t="n"/>
      <c r="E22" s="59">
        <f>AVERAGE(B22:D22)</f>
        <v/>
      </c>
      <c r="F22" s="43">
        <f>IF(E21&lt;&gt;0,E22/E21,"")</f>
        <v/>
      </c>
      <c r="G22" s="60">
        <f>IF(F22&lt;&gt;"", (F22-1)*100,"")</f>
        <v/>
      </c>
    </row>
    <row r="23">
      <c r="A23" s="57" t="inlineStr">
        <is>
          <t>600</t>
        </is>
      </c>
      <c r="B23" s="58" t="n"/>
      <c r="C23" s="58" t="n"/>
      <c r="D23" s="58" t="n"/>
      <c r="E23" s="59">
        <f>AVERAGE(B23:D23)</f>
        <v/>
      </c>
      <c r="F23" s="43">
        <f>IF(E21&lt;&gt;0,E23/E21,"")</f>
        <v/>
      </c>
      <c r="G23" s="60">
        <f>IF(F23&lt;&gt;"", (F23-1)*100,"")</f>
        <v/>
      </c>
    </row>
    <row r="24">
      <c r="A24" s="32" t="inlineStr">
        <is>
          <t>Flag any dose rate with |deviation| &gt; 1% — apply dose-rate correction factor if FFF beam.</t>
        </is>
      </c>
    </row>
    <row r="27">
      <c r="A27" s="44" t="inlineStr">
        <is>
          <t>EDGE  —  Sun Nuclear Edge (unshielded diode)</t>
        </is>
      </c>
      <c r="B27" s="2" t="n"/>
      <c r="C27" s="2" t="n"/>
      <c r="D27" s="2" t="n"/>
      <c r="E27" s="2" t="n"/>
      <c r="F27" s="2" t="n"/>
      <c r="G27" s="3" t="n"/>
    </row>
    <row r="28">
      <c r="A28" s="61" t="inlineStr">
        <is>
          <t>A — Pre-irradiation Conditioning</t>
        </is>
      </c>
      <c r="B28" s="2" t="n"/>
      <c r="C28" s="2" t="n"/>
      <c r="D28" s="2" t="n"/>
      <c r="E28" s="2" t="n"/>
      <c r="F28" s="2" t="n"/>
      <c r="G28" s="3" t="n"/>
    </row>
    <row r="29">
      <c r="A29" s="4" t="inlineStr">
        <is>
          <t>Required pre-irrad. dose</t>
        </is>
      </c>
      <c r="B29" s="56" t="inlineStr">
        <is>
          <t>10 Gy minimum  (see SETUP for value)</t>
        </is>
      </c>
      <c r="C29" s="2" t="n"/>
      <c r="D29" s="2" t="n"/>
      <c r="E29" s="2" t="n"/>
      <c r="F29" s="3" t="n"/>
    </row>
    <row r="30">
      <c r="A30" s="4" t="inlineStr">
        <is>
          <t>Energy / field used</t>
        </is>
      </c>
      <c r="B30" s="33" t="n"/>
      <c r="C30" s="4" t="inlineStr">
        <is>
          <t>MU delivered</t>
        </is>
      </c>
      <c r="D30" s="39" t="n"/>
      <c r="E30" s="4" t="inlineStr">
        <is>
          <t>Date / Time</t>
        </is>
      </c>
      <c r="F30" s="33" t="n"/>
    </row>
    <row r="31">
      <c r="A31" s="4" t="inlineStr">
        <is>
          <t>Conditioning readings (stability check)</t>
        </is>
      </c>
      <c r="B31" s="4" t="inlineStr">
        <is>
          <t>Rep 1</t>
        </is>
      </c>
      <c r="C31" s="4" t="inlineStr">
        <is>
          <t>Rep 2</t>
        </is>
      </c>
      <c r="D31" s="4" t="inlineStr">
        <is>
          <t>Rep 3</t>
        </is>
      </c>
      <c r="E31" s="4" t="inlineStr">
        <is>
          <t>Mean</t>
        </is>
      </c>
      <c r="F31" s="4" t="inlineStr">
        <is>
          <t>CV [%]</t>
        </is>
      </c>
    </row>
    <row r="32">
      <c r="A32" s="62" t="inlineStr">
        <is>
          <t>Reading  [nC or rel]</t>
        </is>
      </c>
      <c r="B32" s="58" t="n"/>
      <c r="C32" s="58" t="n"/>
      <c r="D32" s="58" t="n"/>
      <c r="E32" s="59">
        <f>AVERAGE(B32:D32)</f>
        <v/>
      </c>
      <c r="F32" s="60">
        <f>IF(E32&gt;0,STDEV(B32:D32)/E32*100,"")</f>
        <v/>
      </c>
      <c r="G32" s="32" t="inlineStr">
        <is>
          <t>CV should be &lt;0.3% after sufficient conditioning.</t>
        </is>
      </c>
    </row>
    <row r="34">
      <c r="A34" s="61" t="inlineStr">
        <is>
          <t>B — Leakage Current Check</t>
        </is>
      </c>
      <c r="B34" s="2" t="n"/>
      <c r="C34" s="2" t="n"/>
      <c r="D34" s="2" t="n"/>
      <c r="E34" s="2" t="n"/>
      <c r="F34" s="2" t="n"/>
      <c r="G34" s="3" t="n"/>
    </row>
    <row r="35">
      <c r="A35" s="4" t="inlineStr"/>
      <c r="B35" s="4" t="inlineStr">
        <is>
          <t>Rep 1</t>
        </is>
      </c>
      <c r="C35" s="4" t="inlineStr">
        <is>
          <t>Rep 2</t>
        </is>
      </c>
      <c r="D35" s="4" t="inlineStr">
        <is>
          <t>Rep 3</t>
        </is>
      </c>
      <c r="E35" s="4" t="inlineStr">
        <is>
          <t>Mean [nC]</t>
        </is>
      </c>
      <c r="F35" s="4" t="inlineStr">
        <is>
          <t>Normal signal [nC]</t>
        </is>
      </c>
      <c r="G35" s="4" t="inlineStr">
        <is>
          <t>Leakage [%]</t>
        </is>
      </c>
    </row>
    <row r="36">
      <c r="A36" s="62" t="inlineStr">
        <is>
          <t>Leakage (no beam)</t>
        </is>
      </c>
      <c r="B36" s="58" t="n"/>
      <c r="C36" s="58" t="n"/>
      <c r="D36" s="58" t="n"/>
      <c r="E36" s="59">
        <f>AVERAGE(B36:D36)</f>
        <v/>
      </c>
      <c r="F36" s="58" t="n"/>
      <c r="G36" s="60">
        <f>IF(F36&gt;0,ABS(E36)/F36*100,"")</f>
        <v/>
      </c>
    </row>
    <row r="37">
      <c r="A37" s="32" t="inlineStr">
        <is>
          <t>Acceptance: leakage &lt; 0.5% of normal signal. Subtract from all readings if &gt;0.1%.</t>
        </is>
      </c>
    </row>
    <row r="39">
      <c r="A39" s="61" t="inlineStr">
        <is>
          <t>C — Dose-Rate Dependence</t>
        </is>
      </c>
      <c r="B39" s="2" t="n"/>
      <c r="C39" s="2" t="n"/>
      <c r="D39" s="2" t="n"/>
      <c r="E39" s="2" t="n"/>
      <c r="F39" s="2" t="n"/>
      <c r="G39" s="3" t="n"/>
    </row>
    <row r="40">
      <c r="A40" s="32" t="inlineStr">
        <is>
          <t>Reference dose rate: 300 MU/min. Test at 5 levels. Acceptance: &lt;1.0% variation.</t>
        </is>
      </c>
    </row>
    <row r="41">
      <c r="A41" s="4" t="inlineStr">
        <is>
          <t>Dose rate [MU/min]</t>
        </is>
      </c>
      <c r="B41" s="4" t="inlineStr">
        <is>
          <t>Rep 1</t>
        </is>
      </c>
      <c r="C41" s="4" t="inlineStr">
        <is>
          <t>Rep 2</t>
        </is>
      </c>
      <c r="D41" s="4" t="inlineStr">
        <is>
          <t>Rep 3</t>
        </is>
      </c>
      <c r="E41" s="4" t="inlineStr">
        <is>
          <t>Mean</t>
        </is>
      </c>
      <c r="F41" s="4" t="inlineStr">
        <is>
          <t>Norm. to ref.</t>
        </is>
      </c>
      <c r="G41" s="4" t="inlineStr">
        <is>
          <t>Deviation [%]</t>
        </is>
      </c>
    </row>
    <row r="42">
      <c r="A42" s="62" t="inlineStr">
        <is>
          <t>100</t>
        </is>
      </c>
      <c r="B42" s="58" t="n"/>
      <c r="C42" s="58" t="n"/>
      <c r="D42" s="58" t="n"/>
      <c r="E42" s="59">
        <f>AVERAGE(B42:D42)</f>
        <v/>
      </c>
      <c r="F42" s="43" t="inlineStr">
        <is>
          <t>""</t>
        </is>
      </c>
      <c r="G42" s="60">
        <f>IF(F42&lt;&gt;"", (F42-1)*100,"")</f>
        <v/>
      </c>
    </row>
    <row r="43">
      <c r="A43" s="62" t="inlineStr">
        <is>
          <t>200</t>
        </is>
      </c>
      <c r="B43" s="58" t="n"/>
      <c r="C43" s="58" t="n"/>
      <c r="D43" s="58" t="n"/>
      <c r="E43" s="59">
        <f>AVERAGE(B43:D43)</f>
        <v/>
      </c>
      <c r="F43" s="43" t="inlineStr">
        <is>
          <t>""</t>
        </is>
      </c>
      <c r="G43" s="60">
        <f>IF(F43&lt;&gt;"", (F43-1)*100,"")</f>
        <v/>
      </c>
    </row>
    <row r="44">
      <c r="A44" s="62" t="inlineStr">
        <is>
          <t>300</t>
        </is>
      </c>
      <c r="B44" s="58" t="n"/>
      <c r="C44" s="58" t="n"/>
      <c r="D44" s="58" t="n"/>
      <c r="E44" s="59">
        <f>AVERAGE(B44:D44)</f>
        <v/>
      </c>
      <c r="F44" s="43" t="inlineStr">
        <is>
          <t>1.0000</t>
        </is>
      </c>
      <c r="G44" s="60" t="inlineStr">
        <is>
          <t>0.000</t>
        </is>
      </c>
    </row>
    <row r="45">
      <c r="A45" s="62" t="inlineStr">
        <is>
          <t>400</t>
        </is>
      </c>
      <c r="B45" s="58" t="n"/>
      <c r="C45" s="58" t="n"/>
      <c r="D45" s="58" t="n"/>
      <c r="E45" s="59">
        <f>AVERAGE(B45:D45)</f>
        <v/>
      </c>
      <c r="F45" s="43">
        <f>IF(E44&lt;&gt;0,E45/E44,"")</f>
        <v/>
      </c>
      <c r="G45" s="60">
        <f>IF(F45&lt;&gt;"", (F45-1)*100,"")</f>
        <v/>
      </c>
    </row>
    <row r="46">
      <c r="A46" s="62" t="inlineStr">
        <is>
          <t>600</t>
        </is>
      </c>
      <c r="B46" s="58" t="n"/>
      <c r="C46" s="58" t="n"/>
      <c r="D46" s="58" t="n"/>
      <c r="E46" s="59">
        <f>AVERAGE(B46:D46)</f>
        <v/>
      </c>
      <c r="F46" s="43">
        <f>IF(E44&lt;&gt;0,E46/E44,"")</f>
        <v/>
      </c>
      <c r="G46" s="60">
        <f>IF(F46&lt;&gt;"", (F46-1)*100,"")</f>
        <v/>
      </c>
    </row>
    <row r="47">
      <c r="A47" s="32" t="inlineStr">
        <is>
          <t>Flag any dose rate with |deviation| &gt; 1% — apply dose-rate correction factor if FFF beam.</t>
        </is>
      </c>
    </row>
    <row r="50">
      <c r="A50" s="44" t="inlineStr">
        <is>
          <t>microDIAMOND  —  PTW 60019</t>
        </is>
      </c>
      <c r="B50" s="2" t="n"/>
      <c r="C50" s="2" t="n"/>
      <c r="D50" s="2" t="n"/>
      <c r="E50" s="2" t="n"/>
      <c r="F50" s="2" t="n"/>
      <c r="G50" s="3" t="n"/>
    </row>
    <row r="51">
      <c r="A51" s="63" t="inlineStr">
        <is>
          <t>A — Pre-irradiation Conditioning</t>
        </is>
      </c>
      <c r="B51" s="2" t="n"/>
      <c r="C51" s="2" t="n"/>
      <c r="D51" s="2" t="n"/>
      <c r="E51" s="2" t="n"/>
      <c r="F51" s="2" t="n"/>
      <c r="G51" s="3" t="n"/>
    </row>
    <row r="52">
      <c r="A52" s="4" t="inlineStr">
        <is>
          <t>Required pre-irrad. dose</t>
        </is>
      </c>
      <c r="B52" s="56" t="inlineStr">
        <is>
          <t>5 Gy minimum  (see SETUP for value)</t>
        </is>
      </c>
      <c r="C52" s="2" t="n"/>
      <c r="D52" s="2" t="n"/>
      <c r="E52" s="2" t="n"/>
      <c r="F52" s="3" t="n"/>
    </row>
    <row r="53">
      <c r="A53" s="4" t="inlineStr">
        <is>
          <t>Energy / field used</t>
        </is>
      </c>
      <c r="B53" s="33" t="n"/>
      <c r="C53" s="4" t="inlineStr">
        <is>
          <t>MU delivered</t>
        </is>
      </c>
      <c r="D53" s="39" t="n"/>
      <c r="E53" s="4" t="inlineStr">
        <is>
          <t>Date / Time</t>
        </is>
      </c>
      <c r="F53" s="33" t="n"/>
    </row>
    <row r="54">
      <c r="A54" s="4" t="inlineStr">
        <is>
          <t>Conditioning readings (stability check)</t>
        </is>
      </c>
      <c r="B54" s="4" t="inlineStr">
        <is>
          <t>Rep 1</t>
        </is>
      </c>
      <c r="C54" s="4" t="inlineStr">
        <is>
          <t>Rep 2</t>
        </is>
      </c>
      <c r="D54" s="4" t="inlineStr">
        <is>
          <t>Rep 3</t>
        </is>
      </c>
      <c r="E54" s="4" t="inlineStr">
        <is>
          <t>Mean</t>
        </is>
      </c>
      <c r="F54" s="4" t="inlineStr">
        <is>
          <t>CV [%]</t>
        </is>
      </c>
    </row>
    <row r="55">
      <c r="A55" s="64" t="inlineStr">
        <is>
          <t>Reading  [nC or rel]</t>
        </is>
      </c>
      <c r="B55" s="58" t="n"/>
      <c r="C55" s="58" t="n"/>
      <c r="D55" s="58" t="n"/>
      <c r="E55" s="59">
        <f>AVERAGE(B55:D55)</f>
        <v/>
      </c>
      <c r="F55" s="60">
        <f>IF(E55&gt;0,STDEV(B55:D55)/E55*100,"")</f>
        <v/>
      </c>
      <c r="G55" s="32" t="inlineStr">
        <is>
          <t>CV should be &lt;0.3% after sufficient conditioning.</t>
        </is>
      </c>
    </row>
    <row r="57">
      <c r="A57" s="63" t="inlineStr">
        <is>
          <t>B — Leakage Current Check</t>
        </is>
      </c>
      <c r="B57" s="2" t="n"/>
      <c r="C57" s="2" t="n"/>
      <c r="D57" s="2" t="n"/>
      <c r="E57" s="2" t="n"/>
      <c r="F57" s="2" t="n"/>
      <c r="G57" s="3" t="n"/>
    </row>
    <row r="58">
      <c r="A58" s="4" t="inlineStr"/>
      <c r="B58" s="4" t="inlineStr">
        <is>
          <t>Rep 1</t>
        </is>
      </c>
      <c r="C58" s="4" t="inlineStr">
        <is>
          <t>Rep 2</t>
        </is>
      </c>
      <c r="D58" s="4" t="inlineStr">
        <is>
          <t>Rep 3</t>
        </is>
      </c>
      <c r="E58" s="4" t="inlineStr">
        <is>
          <t>Mean [nC]</t>
        </is>
      </c>
      <c r="F58" s="4" t="inlineStr">
        <is>
          <t>Normal signal [nC]</t>
        </is>
      </c>
      <c r="G58" s="4" t="inlineStr">
        <is>
          <t>Leakage [%]</t>
        </is>
      </c>
    </row>
    <row r="59">
      <c r="A59" s="64" t="inlineStr">
        <is>
          <t>Leakage (no beam)</t>
        </is>
      </c>
      <c r="B59" s="58" t="n"/>
      <c r="C59" s="58" t="n"/>
      <c r="D59" s="58" t="n"/>
      <c r="E59" s="59">
        <f>AVERAGE(B59:D59)</f>
        <v/>
      </c>
      <c r="F59" s="58" t="n"/>
      <c r="G59" s="60">
        <f>IF(F59&gt;0,ABS(E59)/F59*100,"")</f>
        <v/>
      </c>
    </row>
    <row r="60">
      <c r="A60" s="32" t="inlineStr">
        <is>
          <t>Acceptance: leakage &lt; 0.5% of normal signal. Subtract from all readings if &gt;0.1%.</t>
        </is>
      </c>
    </row>
    <row r="62">
      <c r="A62" s="63" t="inlineStr">
        <is>
          <t>C — Dose-Rate Dependence</t>
        </is>
      </c>
      <c r="B62" s="2" t="n"/>
      <c r="C62" s="2" t="n"/>
      <c r="D62" s="2" t="n"/>
      <c r="E62" s="2" t="n"/>
      <c r="F62" s="2" t="n"/>
      <c r="G62" s="3" t="n"/>
    </row>
    <row r="63">
      <c r="A63" s="32" t="inlineStr">
        <is>
          <t>Reference dose rate: 300 MU/min. Test at 5 levels. Acceptance: &lt;1.0% variation.</t>
        </is>
      </c>
    </row>
    <row r="64">
      <c r="A64" s="4" t="inlineStr">
        <is>
          <t>Dose rate [MU/min]</t>
        </is>
      </c>
      <c r="B64" s="4" t="inlineStr">
        <is>
          <t>Rep 1</t>
        </is>
      </c>
      <c r="C64" s="4" t="inlineStr">
        <is>
          <t>Rep 2</t>
        </is>
      </c>
      <c r="D64" s="4" t="inlineStr">
        <is>
          <t>Rep 3</t>
        </is>
      </c>
      <c r="E64" s="4" t="inlineStr">
        <is>
          <t>Mean</t>
        </is>
      </c>
      <c r="F64" s="4" t="inlineStr">
        <is>
          <t>Norm. to ref.</t>
        </is>
      </c>
      <c r="G64" s="4" t="inlineStr">
        <is>
          <t>Deviation [%]</t>
        </is>
      </c>
    </row>
    <row r="65">
      <c r="A65" s="64" t="inlineStr">
        <is>
          <t>100</t>
        </is>
      </c>
      <c r="B65" s="58" t="n"/>
      <c r="C65" s="58" t="n"/>
      <c r="D65" s="58" t="n"/>
      <c r="E65" s="59">
        <f>AVERAGE(B65:D65)</f>
        <v/>
      </c>
      <c r="F65" s="43" t="inlineStr">
        <is>
          <t>""</t>
        </is>
      </c>
      <c r="G65" s="60">
        <f>IF(F65&lt;&gt;"", (F65-1)*100,"")</f>
        <v/>
      </c>
    </row>
    <row r="66">
      <c r="A66" s="64" t="inlineStr">
        <is>
          <t>200</t>
        </is>
      </c>
      <c r="B66" s="58" t="n"/>
      <c r="C66" s="58" t="n"/>
      <c r="D66" s="58" t="n"/>
      <c r="E66" s="59">
        <f>AVERAGE(B66:D66)</f>
        <v/>
      </c>
      <c r="F66" s="43" t="inlineStr">
        <is>
          <t>""</t>
        </is>
      </c>
      <c r="G66" s="60">
        <f>IF(F66&lt;&gt;"", (F66-1)*100,"")</f>
        <v/>
      </c>
    </row>
    <row r="67">
      <c r="A67" s="64" t="inlineStr">
        <is>
          <t>300</t>
        </is>
      </c>
      <c r="B67" s="58" t="n"/>
      <c r="C67" s="58" t="n"/>
      <c r="D67" s="58" t="n"/>
      <c r="E67" s="59">
        <f>AVERAGE(B67:D67)</f>
        <v/>
      </c>
      <c r="F67" s="43" t="inlineStr">
        <is>
          <t>1.0000</t>
        </is>
      </c>
      <c r="G67" s="60" t="inlineStr">
        <is>
          <t>0.000</t>
        </is>
      </c>
    </row>
    <row r="68">
      <c r="A68" s="64" t="inlineStr">
        <is>
          <t>400</t>
        </is>
      </c>
      <c r="B68" s="58" t="n"/>
      <c r="C68" s="58" t="n"/>
      <c r="D68" s="58" t="n"/>
      <c r="E68" s="59">
        <f>AVERAGE(B68:D68)</f>
        <v/>
      </c>
      <c r="F68" s="43">
        <f>IF(E67&lt;&gt;0,E68/E67,"")</f>
        <v/>
      </c>
      <c r="G68" s="60">
        <f>IF(F68&lt;&gt;"", (F68-1)*100,"")</f>
        <v/>
      </c>
    </row>
    <row r="69">
      <c r="A69" s="64" t="inlineStr">
        <is>
          <t>600</t>
        </is>
      </c>
      <c r="B69" s="58" t="n"/>
      <c r="C69" s="58" t="n"/>
      <c r="D69" s="58" t="n"/>
      <c r="E69" s="59">
        <f>AVERAGE(B69:D69)</f>
        <v/>
      </c>
      <c r="F69" s="43">
        <f>IF(E67&lt;&gt;0,E69/E67,"")</f>
        <v/>
      </c>
      <c r="G69" s="60">
        <f>IF(F69&lt;&gt;"", (F69-1)*100,"")</f>
        <v/>
      </c>
    </row>
    <row r="70">
      <c r="A70" s="32" t="inlineStr">
        <is>
          <t>Flag any dose rate with |deviation| &gt; 1% — apply dose-rate correction factor if FFF beam.</t>
        </is>
      </c>
    </row>
  </sheetData>
  <mergeCells count="26">
    <mergeCell ref="A14:G14"/>
    <mergeCell ref="A17:G17"/>
    <mergeCell ref="A4:G4"/>
    <mergeCell ref="A62:G62"/>
    <mergeCell ref="A63:G63"/>
    <mergeCell ref="A28:G28"/>
    <mergeCell ref="B52:F52"/>
    <mergeCell ref="A40:G40"/>
    <mergeCell ref="A39:G39"/>
    <mergeCell ref="A34:G34"/>
    <mergeCell ref="A24:G24"/>
    <mergeCell ref="A60:G60"/>
    <mergeCell ref="A11:G11"/>
    <mergeCell ref="A51:G51"/>
    <mergeCell ref="B29:F29"/>
    <mergeCell ref="A1:G1"/>
    <mergeCell ref="A70:G70"/>
    <mergeCell ref="A16:G16"/>
    <mergeCell ref="A37:G37"/>
    <mergeCell ref="B6:F6"/>
    <mergeCell ref="A27:G27"/>
    <mergeCell ref="A50:G50"/>
    <mergeCell ref="A2:G2"/>
    <mergeCell ref="A57:G57"/>
    <mergeCell ref="A47:G47"/>
    <mergeCell ref="A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</cols>
  <sheetData>
    <row r="1">
      <c r="A1" s="31" t="inlineStr">
        <is>
          <t>FWHM Field Size Measurements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32" t="inlineStr">
        <is>
          <t>Measure inline and crossline profiles at 10 cm depth (SAD setup). FWHM = distance between 50% dose points on each side of Dmax. Sclin = √(FWHMx × FWHMy). Sclin determines which Method (A/B/C) applies.</t>
        </is>
      </c>
    </row>
    <row r="4">
      <c r="A4" s="44" t="inlineStr">
        <is>
          <t>6 MV WFF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>
      <c r="A5" s="40" t="inlineStr">
        <is>
          <t>Coll. X [cm]</t>
        </is>
      </c>
      <c r="B5" s="40" t="inlineStr">
        <is>
          <t>Coll. Y [cm]</t>
        </is>
      </c>
      <c r="C5" s="40" t="inlineStr">
        <is>
          <t>FWHM X [cm]</t>
        </is>
      </c>
      <c r="D5" s="40" t="inlineStr">
        <is>
          <t>FWHM Y [cm]</t>
        </is>
      </c>
      <c r="E5" s="40" t="inlineStr">
        <is>
          <t>Sclin [cm]</t>
        </is>
      </c>
      <c r="F5" s="40" t="inlineStr">
        <is>
          <t>Sclin-Geo [cm]</t>
        </is>
      </c>
      <c r="G5" s="40" t="inlineStr">
        <is>
          <t>Penumbra 20-80% [mm]</t>
        </is>
      </c>
      <c r="H5" s="40" t="inlineStr">
        <is>
          <t>Detector used</t>
        </is>
      </c>
      <c r="I5" s="40" t="inlineStr">
        <is>
          <t>Method</t>
        </is>
      </c>
      <c r="J5" s="40" t="inlineStr">
        <is>
          <t>Notes</t>
        </is>
      </c>
    </row>
    <row r="6" ht="16" customHeight="1">
      <c r="A6" s="38" t="n">
        <v>0.5</v>
      </c>
      <c r="B6" s="38" t="n">
        <v>0.5</v>
      </c>
      <c r="C6" s="36" t="n"/>
      <c r="D6" s="36" t="n"/>
      <c r="E6" s="60">
        <f>IF(AND(C6&lt;&gt;"",D6&lt;&gt;""),SQRT(C6*D6),"")</f>
        <v/>
      </c>
      <c r="F6" s="60">
        <f>IF(E6&lt;&gt;"",E6-A6,"")</f>
        <v/>
      </c>
      <c r="G6" s="38" t="n"/>
      <c r="H6" s="33" t="n"/>
      <c r="I6" s="65">
        <f>IF(E6="","",IF(E6&lt;1,"C",IF(E6&lt;3,"B","A")))</f>
        <v/>
      </c>
      <c r="J6" s="33" t="n"/>
    </row>
    <row r="7" ht="16" customHeight="1">
      <c r="A7" s="38" t="n">
        <v>0.6</v>
      </c>
      <c r="B7" s="38" t="n">
        <v>0.6</v>
      </c>
      <c r="C7" s="36" t="n"/>
      <c r="D7" s="36" t="n"/>
      <c r="E7" s="60">
        <f>IF(AND(C7&lt;&gt;"",D7&lt;&gt;""),SQRT(C7*D7),"")</f>
        <v/>
      </c>
      <c r="F7" s="60">
        <f>IF(E7&lt;&gt;"",E7-A7,"")</f>
        <v/>
      </c>
      <c r="G7" s="38" t="n"/>
      <c r="H7" s="33" t="n"/>
      <c r="I7" s="65">
        <f>IF(E7="","",IF(E7&lt;1,"C",IF(E7&lt;3,"B","A")))</f>
        <v/>
      </c>
      <c r="J7" s="33" t="n"/>
    </row>
    <row r="8" ht="16" customHeight="1">
      <c r="A8" s="38" t="n">
        <v>0.8</v>
      </c>
      <c r="B8" s="38" t="n">
        <v>0.8</v>
      </c>
      <c r="C8" s="36" t="n"/>
      <c r="D8" s="36" t="n"/>
      <c r="E8" s="60">
        <f>IF(AND(C8&lt;&gt;"",D8&lt;&gt;""),SQRT(C8*D8),"")</f>
        <v/>
      </c>
      <c r="F8" s="60">
        <f>IF(E8&lt;&gt;"",E8-A8,"")</f>
        <v/>
      </c>
      <c r="G8" s="38" t="n"/>
      <c r="H8" s="33" t="n"/>
      <c r="I8" s="65">
        <f>IF(E8="","",IF(E8&lt;1,"C",IF(E8&lt;3,"B","A")))</f>
        <v/>
      </c>
      <c r="J8" s="33" t="n"/>
    </row>
    <row r="9" ht="16" customHeight="1">
      <c r="A9" s="38" t="n">
        <v>1</v>
      </c>
      <c r="B9" s="38" t="n">
        <v>1</v>
      </c>
      <c r="C9" s="36" t="n"/>
      <c r="D9" s="36" t="n"/>
      <c r="E9" s="60">
        <f>IF(AND(C9&lt;&gt;"",D9&lt;&gt;""),SQRT(C9*D9),"")</f>
        <v/>
      </c>
      <c r="F9" s="60">
        <f>IF(E9&lt;&gt;"",E9-A9,"")</f>
        <v/>
      </c>
      <c r="G9" s="38" t="n"/>
      <c r="H9" s="33" t="n"/>
      <c r="I9" s="65">
        <f>IF(E9="","",IF(E9&lt;1,"C",IF(E9&lt;3,"B","A")))</f>
        <v/>
      </c>
      <c r="J9" s="33" t="n"/>
    </row>
    <row r="10" ht="16" customHeight="1">
      <c r="A10" s="38" t="n">
        <v>1.2</v>
      </c>
      <c r="B10" s="38" t="n">
        <v>1.2</v>
      </c>
      <c r="C10" s="36" t="n"/>
      <c r="D10" s="36" t="n"/>
      <c r="E10" s="60">
        <f>IF(AND(C10&lt;&gt;"",D10&lt;&gt;""),SQRT(C10*D10),"")</f>
        <v/>
      </c>
      <c r="F10" s="60">
        <f>IF(E10&lt;&gt;"",E10-A10,"")</f>
        <v/>
      </c>
      <c r="G10" s="38" t="n"/>
      <c r="H10" s="33" t="n"/>
      <c r="I10" s="65">
        <f>IF(E10="","",IF(E10&lt;1,"C",IF(E10&lt;3,"B","A")))</f>
        <v/>
      </c>
      <c r="J10" s="33" t="n"/>
    </row>
    <row r="11" ht="16" customHeight="1">
      <c r="A11" s="38" t="n">
        <v>1.5</v>
      </c>
      <c r="B11" s="38" t="n">
        <v>1.5</v>
      </c>
      <c r="C11" s="36" t="n"/>
      <c r="D11" s="36" t="n"/>
      <c r="E11" s="60">
        <f>IF(AND(C11&lt;&gt;"",D11&lt;&gt;""),SQRT(C11*D11),"")</f>
        <v/>
      </c>
      <c r="F11" s="60">
        <f>IF(E11&lt;&gt;"",E11-A11,"")</f>
        <v/>
      </c>
      <c r="G11" s="38" t="n"/>
      <c r="H11" s="33" t="n"/>
      <c r="I11" s="65">
        <f>IF(E11="","",IF(E11&lt;1,"C",IF(E11&lt;3,"B","A")))</f>
        <v/>
      </c>
      <c r="J11" s="33" t="n"/>
    </row>
    <row r="12" ht="16" customHeight="1">
      <c r="A12" s="38" t="n">
        <v>2</v>
      </c>
      <c r="B12" s="38" t="n">
        <v>2</v>
      </c>
      <c r="C12" s="36" t="n"/>
      <c r="D12" s="36" t="n"/>
      <c r="E12" s="60">
        <f>IF(AND(C12&lt;&gt;"",D12&lt;&gt;""),SQRT(C12*D12),"")</f>
        <v/>
      </c>
      <c r="F12" s="60">
        <f>IF(E12&lt;&gt;"",E12-A12,"")</f>
        <v/>
      </c>
      <c r="G12" s="38" t="n"/>
      <c r="H12" s="33" t="n"/>
      <c r="I12" s="65">
        <f>IF(E12="","",IF(E12&lt;1,"C",IF(E12&lt;3,"B","A")))</f>
        <v/>
      </c>
      <c r="J12" s="33" t="n"/>
    </row>
    <row r="13" ht="16" customHeight="1">
      <c r="A13" s="38" t="n">
        <v>2.5</v>
      </c>
      <c r="B13" s="38" t="n">
        <v>2.5</v>
      </c>
      <c r="C13" s="36" t="n"/>
      <c r="D13" s="36" t="n"/>
      <c r="E13" s="60">
        <f>IF(AND(C13&lt;&gt;"",D13&lt;&gt;""),SQRT(C13*D13),"")</f>
        <v/>
      </c>
      <c r="F13" s="60">
        <f>IF(E13&lt;&gt;"",E13-A13,"")</f>
        <v/>
      </c>
      <c r="G13" s="38" t="n"/>
      <c r="H13" s="33" t="n"/>
      <c r="I13" s="65">
        <f>IF(E13="","",IF(E13&lt;1,"C",IF(E13&lt;3,"B","A")))</f>
        <v/>
      </c>
      <c r="J13" s="33" t="n"/>
    </row>
    <row r="14" ht="16" customHeight="1">
      <c r="A14" s="38" t="n">
        <v>3</v>
      </c>
      <c r="B14" s="38" t="n">
        <v>3</v>
      </c>
      <c r="C14" s="36" t="n"/>
      <c r="D14" s="36" t="n"/>
      <c r="E14" s="60">
        <f>IF(AND(C14&lt;&gt;"",D14&lt;&gt;""),SQRT(C14*D14),"")</f>
        <v/>
      </c>
      <c r="F14" s="60">
        <f>IF(E14&lt;&gt;"",E14-A14,"")</f>
        <v/>
      </c>
      <c r="G14" s="38" t="n"/>
      <c r="H14" s="33" t="n"/>
      <c r="I14" s="65">
        <f>IF(E14="","",IF(E14&lt;1,"C",IF(E14&lt;3,"B","A")))</f>
        <v/>
      </c>
      <c r="J14" s="33" t="n"/>
    </row>
    <row r="15" ht="16" customHeight="1">
      <c r="A15" s="38" t="n">
        <v>4</v>
      </c>
      <c r="B15" s="38" t="n">
        <v>4</v>
      </c>
      <c r="C15" s="36" t="n"/>
      <c r="D15" s="36" t="n"/>
      <c r="E15" s="60">
        <f>IF(AND(C15&lt;&gt;"",D15&lt;&gt;""),SQRT(C15*D15),"")</f>
        <v/>
      </c>
      <c r="F15" s="60">
        <f>IF(E15&lt;&gt;"",E15-A15,"")</f>
        <v/>
      </c>
      <c r="G15" s="38" t="n"/>
      <c r="H15" s="33" t="n"/>
      <c r="I15" s="65">
        <f>IF(E15="","",IF(E15&lt;1,"C",IF(E15&lt;3,"B","A")))</f>
        <v/>
      </c>
      <c r="J15" s="33" t="n"/>
    </row>
    <row r="16" ht="16" customHeight="1">
      <c r="A16" s="38" t="n">
        <v>5</v>
      </c>
      <c r="B16" s="38" t="n">
        <v>5</v>
      </c>
      <c r="C16" s="36" t="n"/>
      <c r="D16" s="36" t="n"/>
      <c r="E16" s="60">
        <f>IF(AND(C16&lt;&gt;"",D16&lt;&gt;""),SQRT(C16*D16),"")</f>
        <v/>
      </c>
      <c r="F16" s="60">
        <f>IF(E16&lt;&gt;"",E16-A16,"")</f>
        <v/>
      </c>
      <c r="G16" s="38" t="n"/>
      <c r="H16" s="33" t="n"/>
      <c r="I16" s="65">
        <f>IF(E16="","",IF(E16&lt;1,"C",IF(E16&lt;3,"B","A")))</f>
        <v/>
      </c>
      <c r="J16" s="33" t="n"/>
    </row>
    <row r="17" ht="16" customHeight="1">
      <c r="A17" s="38" t="n">
        <v>6</v>
      </c>
      <c r="B17" s="38" t="n">
        <v>6</v>
      </c>
      <c r="C17" s="36" t="n"/>
      <c r="D17" s="36" t="n"/>
      <c r="E17" s="60">
        <f>IF(AND(C17&lt;&gt;"",D17&lt;&gt;""),SQRT(C17*D17),"")</f>
        <v/>
      </c>
      <c r="F17" s="60">
        <f>IF(E17&lt;&gt;"",E17-A17,"")</f>
        <v/>
      </c>
      <c r="G17" s="38" t="n"/>
      <c r="H17" s="33" t="n"/>
      <c r="I17" s="65">
        <f>IF(E17="","",IF(E17&lt;1,"C",IF(E17&lt;3,"B","A")))</f>
        <v/>
      </c>
      <c r="J17" s="33" t="n"/>
    </row>
    <row r="18" ht="16" customHeight="1">
      <c r="A18" s="38" t="n">
        <v>8</v>
      </c>
      <c r="B18" s="38" t="n">
        <v>8</v>
      </c>
      <c r="C18" s="36" t="n"/>
      <c r="D18" s="36" t="n"/>
      <c r="E18" s="60">
        <f>IF(AND(C18&lt;&gt;"",D18&lt;&gt;""),SQRT(C18*D18),"")</f>
        <v/>
      </c>
      <c r="F18" s="60">
        <f>IF(E18&lt;&gt;"",E18-A18,"")</f>
        <v/>
      </c>
      <c r="G18" s="38" t="n"/>
      <c r="H18" s="33" t="n"/>
      <c r="I18" s="65">
        <f>IF(E18="","",IF(E18&lt;1,"C",IF(E18&lt;3,"B","A")))</f>
        <v/>
      </c>
      <c r="J18" s="33" t="n"/>
    </row>
    <row r="19" ht="16" customHeight="1">
      <c r="A19" s="38" t="n">
        <v>10</v>
      </c>
      <c r="B19" s="38" t="n">
        <v>10</v>
      </c>
      <c r="C19" s="36" t="n"/>
      <c r="D19" s="36" t="n"/>
      <c r="E19" s="60">
        <f>IF(AND(C19&lt;&gt;"",D19&lt;&gt;""),SQRT(C19*D19),"")</f>
        <v/>
      </c>
      <c r="F19" s="60">
        <f>IF(E19&lt;&gt;"",E19-A19,"")</f>
        <v/>
      </c>
      <c r="G19" s="38" t="n"/>
      <c r="H19" s="33" t="n"/>
      <c r="I19" s="65">
        <f>IF(E19="","",IF(E19&lt;1,"C",IF(E19&lt;3,"B","A")))</f>
        <v/>
      </c>
      <c r="J19" s="33" t="n"/>
    </row>
    <row r="20">
      <c r="A20" s="32" t="inlineStr">
        <is>
          <t>Sclin−Geo typically 1–3 mm for small fields (FWHM &gt; geometric). Larger deviation may indicate MLC positional error.</t>
        </is>
      </c>
    </row>
    <row r="23">
      <c r="A23" s="44" t="inlineStr">
        <is>
          <t>10 MV WFF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3" t="n"/>
    </row>
    <row r="24">
      <c r="A24" s="40" t="inlineStr">
        <is>
          <t>Coll. X [cm]</t>
        </is>
      </c>
      <c r="B24" s="40" t="inlineStr">
        <is>
          <t>Coll. Y [cm]</t>
        </is>
      </c>
      <c r="C24" s="40" t="inlineStr">
        <is>
          <t>FWHM X [cm]</t>
        </is>
      </c>
      <c r="D24" s="40" t="inlineStr">
        <is>
          <t>FWHM Y [cm]</t>
        </is>
      </c>
      <c r="E24" s="40" t="inlineStr">
        <is>
          <t>Sclin [cm]</t>
        </is>
      </c>
      <c r="F24" s="40" t="inlineStr">
        <is>
          <t>Sclin-Geo [cm]</t>
        </is>
      </c>
      <c r="G24" s="40" t="inlineStr">
        <is>
          <t>Penumbra 20-80% [mm]</t>
        </is>
      </c>
      <c r="H24" s="40" t="inlineStr">
        <is>
          <t>Detector used</t>
        </is>
      </c>
      <c r="I24" s="40" t="inlineStr">
        <is>
          <t>Method</t>
        </is>
      </c>
      <c r="J24" s="40" t="inlineStr">
        <is>
          <t>Notes</t>
        </is>
      </c>
    </row>
    <row r="25" ht="16" customHeight="1">
      <c r="A25" s="38" t="n">
        <v>0.5</v>
      </c>
      <c r="B25" s="38" t="n">
        <v>0.5</v>
      </c>
      <c r="C25" s="36" t="n"/>
      <c r="D25" s="36" t="n"/>
      <c r="E25" s="60">
        <f>IF(AND(C25&lt;&gt;"",D25&lt;&gt;""),SQRT(C25*D25),"")</f>
        <v/>
      </c>
      <c r="F25" s="60">
        <f>IF(E25&lt;&gt;"",E25-A25,"")</f>
        <v/>
      </c>
      <c r="G25" s="38" t="n"/>
      <c r="H25" s="33" t="n"/>
      <c r="I25" s="65">
        <f>IF(E25="","",IF(E25&lt;1,"C",IF(E25&lt;3,"B","A")))</f>
        <v/>
      </c>
      <c r="J25" s="33" t="n"/>
    </row>
    <row r="26" ht="16" customHeight="1">
      <c r="A26" s="38" t="n">
        <v>0.6</v>
      </c>
      <c r="B26" s="38" t="n">
        <v>0.6</v>
      </c>
      <c r="C26" s="36" t="n"/>
      <c r="D26" s="36" t="n"/>
      <c r="E26" s="60">
        <f>IF(AND(C26&lt;&gt;"",D26&lt;&gt;""),SQRT(C26*D26),"")</f>
        <v/>
      </c>
      <c r="F26" s="60">
        <f>IF(E26&lt;&gt;"",E26-A26,"")</f>
        <v/>
      </c>
      <c r="G26" s="38" t="n"/>
      <c r="H26" s="33" t="n"/>
      <c r="I26" s="65">
        <f>IF(E26="","",IF(E26&lt;1,"C",IF(E26&lt;3,"B","A")))</f>
        <v/>
      </c>
      <c r="J26" s="33" t="n"/>
    </row>
    <row r="27" ht="16" customHeight="1">
      <c r="A27" s="38" t="n">
        <v>0.8</v>
      </c>
      <c r="B27" s="38" t="n">
        <v>0.8</v>
      </c>
      <c r="C27" s="36" t="n"/>
      <c r="D27" s="36" t="n"/>
      <c r="E27" s="60">
        <f>IF(AND(C27&lt;&gt;"",D27&lt;&gt;""),SQRT(C27*D27),"")</f>
        <v/>
      </c>
      <c r="F27" s="60">
        <f>IF(E27&lt;&gt;"",E27-A27,"")</f>
        <v/>
      </c>
      <c r="G27" s="38" t="n"/>
      <c r="H27" s="33" t="n"/>
      <c r="I27" s="65">
        <f>IF(E27="","",IF(E27&lt;1,"C",IF(E27&lt;3,"B","A")))</f>
        <v/>
      </c>
      <c r="J27" s="33" t="n"/>
    </row>
    <row r="28" ht="16" customHeight="1">
      <c r="A28" s="38" t="n">
        <v>1</v>
      </c>
      <c r="B28" s="38" t="n">
        <v>1</v>
      </c>
      <c r="C28" s="36" t="n"/>
      <c r="D28" s="36" t="n"/>
      <c r="E28" s="60">
        <f>IF(AND(C28&lt;&gt;"",D28&lt;&gt;""),SQRT(C28*D28),"")</f>
        <v/>
      </c>
      <c r="F28" s="60">
        <f>IF(E28&lt;&gt;"",E28-A28,"")</f>
        <v/>
      </c>
      <c r="G28" s="38" t="n"/>
      <c r="H28" s="33" t="n"/>
      <c r="I28" s="65">
        <f>IF(E28="","",IF(E28&lt;1,"C",IF(E28&lt;3,"B","A")))</f>
        <v/>
      </c>
      <c r="J28" s="33" t="n"/>
    </row>
    <row r="29" ht="16" customHeight="1">
      <c r="A29" s="38" t="n">
        <v>1.2</v>
      </c>
      <c r="B29" s="38" t="n">
        <v>1.2</v>
      </c>
      <c r="C29" s="36" t="n"/>
      <c r="D29" s="36" t="n"/>
      <c r="E29" s="60">
        <f>IF(AND(C29&lt;&gt;"",D29&lt;&gt;""),SQRT(C29*D29),"")</f>
        <v/>
      </c>
      <c r="F29" s="60">
        <f>IF(E29&lt;&gt;"",E29-A29,"")</f>
        <v/>
      </c>
      <c r="G29" s="38" t="n"/>
      <c r="H29" s="33" t="n"/>
      <c r="I29" s="65">
        <f>IF(E29="","",IF(E29&lt;1,"C",IF(E29&lt;3,"B","A")))</f>
        <v/>
      </c>
      <c r="J29" s="33" t="n"/>
    </row>
    <row r="30" ht="16" customHeight="1">
      <c r="A30" s="38" t="n">
        <v>1.5</v>
      </c>
      <c r="B30" s="38" t="n">
        <v>1.5</v>
      </c>
      <c r="C30" s="36" t="n"/>
      <c r="D30" s="36" t="n"/>
      <c r="E30" s="60">
        <f>IF(AND(C30&lt;&gt;"",D30&lt;&gt;""),SQRT(C30*D30),"")</f>
        <v/>
      </c>
      <c r="F30" s="60">
        <f>IF(E30&lt;&gt;"",E30-A30,"")</f>
        <v/>
      </c>
      <c r="G30" s="38" t="n"/>
      <c r="H30" s="33" t="n"/>
      <c r="I30" s="65">
        <f>IF(E30="","",IF(E30&lt;1,"C",IF(E30&lt;3,"B","A")))</f>
        <v/>
      </c>
      <c r="J30" s="33" t="n"/>
    </row>
    <row r="31" ht="16" customHeight="1">
      <c r="A31" s="38" t="n">
        <v>2</v>
      </c>
      <c r="B31" s="38" t="n">
        <v>2</v>
      </c>
      <c r="C31" s="36" t="n"/>
      <c r="D31" s="36" t="n"/>
      <c r="E31" s="60">
        <f>IF(AND(C31&lt;&gt;"",D31&lt;&gt;""),SQRT(C31*D31),"")</f>
        <v/>
      </c>
      <c r="F31" s="60">
        <f>IF(E31&lt;&gt;"",E31-A31,"")</f>
        <v/>
      </c>
      <c r="G31" s="38" t="n"/>
      <c r="H31" s="33" t="n"/>
      <c r="I31" s="65">
        <f>IF(E31="","",IF(E31&lt;1,"C",IF(E31&lt;3,"B","A")))</f>
        <v/>
      </c>
      <c r="J31" s="33" t="n"/>
    </row>
    <row r="32" ht="16" customHeight="1">
      <c r="A32" s="38" t="n">
        <v>2.5</v>
      </c>
      <c r="B32" s="38" t="n">
        <v>2.5</v>
      </c>
      <c r="C32" s="36" t="n"/>
      <c r="D32" s="36" t="n"/>
      <c r="E32" s="60">
        <f>IF(AND(C32&lt;&gt;"",D32&lt;&gt;""),SQRT(C32*D32),"")</f>
        <v/>
      </c>
      <c r="F32" s="60">
        <f>IF(E32&lt;&gt;"",E32-A32,"")</f>
        <v/>
      </c>
      <c r="G32" s="38" t="n"/>
      <c r="H32" s="33" t="n"/>
      <c r="I32" s="65">
        <f>IF(E32="","",IF(E32&lt;1,"C",IF(E32&lt;3,"B","A")))</f>
        <v/>
      </c>
      <c r="J32" s="33" t="n"/>
    </row>
    <row r="33" ht="16" customHeight="1">
      <c r="A33" s="38" t="n">
        <v>3</v>
      </c>
      <c r="B33" s="38" t="n">
        <v>3</v>
      </c>
      <c r="C33" s="36" t="n"/>
      <c r="D33" s="36" t="n"/>
      <c r="E33" s="60">
        <f>IF(AND(C33&lt;&gt;"",D33&lt;&gt;""),SQRT(C33*D33),"")</f>
        <v/>
      </c>
      <c r="F33" s="60">
        <f>IF(E33&lt;&gt;"",E33-A33,"")</f>
        <v/>
      </c>
      <c r="G33" s="38" t="n"/>
      <c r="H33" s="33" t="n"/>
      <c r="I33" s="65">
        <f>IF(E33="","",IF(E33&lt;1,"C",IF(E33&lt;3,"B","A")))</f>
        <v/>
      </c>
      <c r="J33" s="33" t="n"/>
    </row>
    <row r="34" ht="16" customHeight="1">
      <c r="A34" s="38" t="n">
        <v>4</v>
      </c>
      <c r="B34" s="38" t="n">
        <v>4</v>
      </c>
      <c r="C34" s="36" t="n"/>
      <c r="D34" s="36" t="n"/>
      <c r="E34" s="60">
        <f>IF(AND(C34&lt;&gt;"",D34&lt;&gt;""),SQRT(C34*D34),"")</f>
        <v/>
      </c>
      <c r="F34" s="60">
        <f>IF(E34&lt;&gt;"",E34-A34,"")</f>
        <v/>
      </c>
      <c r="G34" s="38" t="n"/>
      <c r="H34" s="33" t="n"/>
      <c r="I34" s="65">
        <f>IF(E34="","",IF(E34&lt;1,"C",IF(E34&lt;3,"B","A")))</f>
        <v/>
      </c>
      <c r="J34" s="33" t="n"/>
    </row>
    <row r="35" ht="16" customHeight="1">
      <c r="A35" s="38" t="n">
        <v>5</v>
      </c>
      <c r="B35" s="38" t="n">
        <v>5</v>
      </c>
      <c r="C35" s="36" t="n"/>
      <c r="D35" s="36" t="n"/>
      <c r="E35" s="60">
        <f>IF(AND(C35&lt;&gt;"",D35&lt;&gt;""),SQRT(C35*D35),"")</f>
        <v/>
      </c>
      <c r="F35" s="60">
        <f>IF(E35&lt;&gt;"",E35-A35,"")</f>
        <v/>
      </c>
      <c r="G35" s="38" t="n"/>
      <c r="H35" s="33" t="n"/>
      <c r="I35" s="65">
        <f>IF(E35="","",IF(E35&lt;1,"C",IF(E35&lt;3,"B","A")))</f>
        <v/>
      </c>
      <c r="J35" s="33" t="n"/>
    </row>
    <row r="36" ht="16" customHeight="1">
      <c r="A36" s="38" t="n">
        <v>6</v>
      </c>
      <c r="B36" s="38" t="n">
        <v>6</v>
      </c>
      <c r="C36" s="36" t="n"/>
      <c r="D36" s="36" t="n"/>
      <c r="E36" s="60">
        <f>IF(AND(C36&lt;&gt;"",D36&lt;&gt;""),SQRT(C36*D36),"")</f>
        <v/>
      </c>
      <c r="F36" s="60">
        <f>IF(E36&lt;&gt;"",E36-A36,"")</f>
        <v/>
      </c>
      <c r="G36" s="38" t="n"/>
      <c r="H36" s="33" t="n"/>
      <c r="I36" s="65">
        <f>IF(E36="","",IF(E36&lt;1,"C",IF(E36&lt;3,"B","A")))</f>
        <v/>
      </c>
      <c r="J36" s="33" t="n"/>
    </row>
    <row r="37" ht="16" customHeight="1">
      <c r="A37" s="38" t="n">
        <v>8</v>
      </c>
      <c r="B37" s="38" t="n">
        <v>8</v>
      </c>
      <c r="C37" s="36" t="n"/>
      <c r="D37" s="36" t="n"/>
      <c r="E37" s="60">
        <f>IF(AND(C37&lt;&gt;"",D37&lt;&gt;""),SQRT(C37*D37),"")</f>
        <v/>
      </c>
      <c r="F37" s="60">
        <f>IF(E37&lt;&gt;"",E37-A37,"")</f>
        <v/>
      </c>
      <c r="G37" s="38" t="n"/>
      <c r="H37" s="33" t="n"/>
      <c r="I37" s="65">
        <f>IF(E37="","",IF(E37&lt;1,"C",IF(E37&lt;3,"B","A")))</f>
        <v/>
      </c>
      <c r="J37" s="33" t="n"/>
    </row>
    <row r="38" ht="16" customHeight="1">
      <c r="A38" s="38" t="n">
        <v>10</v>
      </c>
      <c r="B38" s="38" t="n">
        <v>10</v>
      </c>
      <c r="C38" s="36" t="n"/>
      <c r="D38" s="36" t="n"/>
      <c r="E38" s="60">
        <f>IF(AND(C38&lt;&gt;"",D38&lt;&gt;""),SQRT(C38*D38),"")</f>
        <v/>
      </c>
      <c r="F38" s="60">
        <f>IF(E38&lt;&gt;"",E38-A38,"")</f>
        <v/>
      </c>
      <c r="G38" s="38" t="n"/>
      <c r="H38" s="33" t="n"/>
      <c r="I38" s="65">
        <f>IF(E38="","",IF(E38&lt;1,"C",IF(E38&lt;3,"B","A")))</f>
        <v/>
      </c>
      <c r="J38" s="33" t="n"/>
    </row>
    <row r="39">
      <c r="A39" s="32" t="inlineStr">
        <is>
          <t>Sclin−Geo typically 1–3 mm for small fields (FWHM &gt; geometric). Larger deviation may indicate MLC positional error.</t>
        </is>
      </c>
    </row>
  </sheetData>
  <mergeCells count="6">
    <mergeCell ref="A1:J1"/>
    <mergeCell ref="A23:J23"/>
    <mergeCell ref="A39:J39"/>
    <mergeCell ref="A4:J4"/>
    <mergeCell ref="A20:J20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s="31" t="inlineStr">
        <is>
          <t>Output Factors — Method A  (Sclin ≥ 3 cm)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3" t="n"/>
    </row>
    <row r="2">
      <c r="A2" s="32" t="inlineStr">
        <is>
          <t>Interleave reference (10×10) readings before and after each clinical field. Apply kTP to all readings. kpol and ks: enter from REF_DOSIMETRY sheet (Farmer); for solid-state detectors kpol=1.0000, ks=1.0000. k = k_{Q_clin,Q_msr} from K_FACTORS sheet.</t>
        </is>
      </c>
    </row>
    <row r="4">
      <c r="A4" s="44" t="inlineStr">
        <is>
          <t>6 MV WFF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3" t="n"/>
    </row>
    <row r="5">
      <c r="A5" s="66" t="inlineStr">
        <is>
          <t>Field</t>
        </is>
      </c>
      <c r="B5" s="66" t="inlineStr">
        <is>
          <t>Sclin
[cm]</t>
        </is>
      </c>
      <c r="C5" s="66" t="inlineStr">
        <is>
          <t>kTP</t>
        </is>
      </c>
      <c r="D5" s="67" t="inlineStr">
        <is>
          <t>Reference (10×10) — interleaved</t>
        </is>
      </c>
      <c r="E5" s="2" t="n"/>
      <c r="F5" s="3" t="n"/>
      <c r="G5" s="66" t="inlineStr">
        <is>
          <t>Mref
corr</t>
        </is>
      </c>
      <c r="H5" s="67" t="inlineStr">
        <is>
          <t>Farmer</t>
        </is>
      </c>
      <c r="I5" s="2" t="n"/>
      <c r="J5" s="2" t="n"/>
      <c r="K5" s="3" t="n"/>
      <c r="M5" s="68" t="inlineStr">
        <is>
          <t>A16</t>
        </is>
      </c>
      <c r="N5" s="2" t="n"/>
      <c r="O5" s="2" t="n"/>
      <c r="P5" s="3" t="n"/>
      <c r="R5" s="69" t="inlineStr">
        <is>
          <t>Edge</t>
        </is>
      </c>
      <c r="S5" s="2" t="n"/>
      <c r="T5" s="2" t="n"/>
      <c r="U5" s="3" t="n"/>
      <c r="W5" s="70" t="inlineStr">
        <is>
          <t>µDiamond</t>
        </is>
      </c>
      <c r="X5" s="2" t="n"/>
      <c r="Y5" s="2" t="n"/>
      <c r="Z5" s="3" t="n"/>
      <c r="AB5" s="66" t="inlineStr">
        <is>
          <t>Ω
mean</t>
        </is>
      </c>
      <c r="AC5" s="66" t="inlineStr">
        <is>
          <t>Dev
[%]</t>
        </is>
      </c>
      <c r="AD5" s="66" t="inlineStr">
        <is>
          <t>Pass?</t>
        </is>
      </c>
    </row>
    <row r="6">
      <c r="A6" s="71" t="inlineStr">
        <is>
          <t>Nom
[cm]</t>
        </is>
      </c>
      <c r="B6" s="71" t="inlineStr">
        <is>
          <t>→FWHM</t>
        </is>
      </c>
      <c r="C6" s="71" t="inlineStr">
        <is>
          <t>env→</t>
        </is>
      </c>
      <c r="D6" s="71" t="inlineStr">
        <is>
          <t>Mbefore</t>
        </is>
      </c>
      <c r="E6" s="71" t="inlineStr">
        <is>
          <t>Mafter</t>
        </is>
      </c>
      <c r="F6" s="71" t="inlineStr">
        <is>
          <t>Mref</t>
        </is>
      </c>
      <c r="G6" s="71" t="inlineStr">
        <is>
          <t>Mcorr</t>
        </is>
      </c>
      <c r="H6" s="71" t="inlineStr">
        <is>
          <t>M1</t>
        </is>
      </c>
      <c r="I6" s="71" t="inlineStr">
        <is>
          <t>M2</t>
        </is>
      </c>
      <c r="J6" s="71" t="inlineStr">
        <is>
          <t>M3</t>
        </is>
      </c>
      <c r="K6" s="71" t="inlineStr">
        <is>
          <t>Mmean</t>
        </is>
      </c>
      <c r="L6" s="71" t="inlineStr">
        <is>
          <t>Ω_Farm</t>
        </is>
      </c>
      <c r="M6" s="71" t="inlineStr">
        <is>
          <t>M1</t>
        </is>
      </c>
      <c r="N6" s="71" t="inlineStr">
        <is>
          <t>M2</t>
        </is>
      </c>
      <c r="O6" s="71" t="inlineStr">
        <is>
          <t>M3</t>
        </is>
      </c>
      <c r="P6" s="71" t="inlineStr">
        <is>
          <t>Mmean</t>
        </is>
      </c>
      <c r="Q6" s="71" t="inlineStr">
        <is>
          <t>k_A16</t>
        </is>
      </c>
      <c r="R6" s="71" t="inlineStr">
        <is>
          <t>Ω_A16</t>
        </is>
      </c>
      <c r="S6" s="71" t="inlineStr">
        <is>
          <t>M1</t>
        </is>
      </c>
      <c r="T6" s="71" t="inlineStr">
        <is>
          <t>M2</t>
        </is>
      </c>
      <c r="U6" s="71" t="inlineStr">
        <is>
          <t>M3</t>
        </is>
      </c>
      <c r="V6" s="71" t="inlineStr">
        <is>
          <t>Mmean</t>
        </is>
      </c>
      <c r="W6" s="71" t="inlineStr">
        <is>
          <t>k_Edge</t>
        </is>
      </c>
      <c r="X6" s="71" t="inlineStr">
        <is>
          <t>Ω_Edge</t>
        </is>
      </c>
      <c r="Y6" s="71" t="inlineStr">
        <is>
          <t>M1</t>
        </is>
      </c>
      <c r="Z6" s="71" t="inlineStr">
        <is>
          <t>M2</t>
        </is>
      </c>
      <c r="AA6" s="71" t="inlineStr">
        <is>
          <t>M3</t>
        </is>
      </c>
      <c r="AB6" s="71" t="inlineStr">
        <is>
          <t>Mmean</t>
        </is>
      </c>
      <c r="AC6" s="71" t="inlineStr">
        <is>
          <t>k_uDm</t>
        </is>
      </c>
      <c r="AD6" s="71" t="inlineStr">
        <is>
          <t>Ω_uDm</t>
        </is>
      </c>
      <c r="AE6" s="71" t="inlineStr">
        <is>
          <t>Mean</t>
        </is>
      </c>
      <c r="AF6" s="71" t="inlineStr">
        <is>
          <t>Max%</t>
        </is>
      </c>
      <c r="AG6" s="71" t="inlineStr">
        <is>
          <t>≤2%?</t>
        </is>
      </c>
    </row>
    <row r="7" ht="16" customHeight="1">
      <c r="A7" s="38" t="n">
        <v>3</v>
      </c>
      <c r="B7" s="36" t="n"/>
      <c r="C7" s="35" t="n"/>
      <c r="D7" s="58" t="n"/>
      <c r="E7" s="58" t="n"/>
      <c r="F7" s="59">
        <f>AVERAGE(D7,E7)</f>
        <v/>
      </c>
      <c r="G7" s="59">
        <f>F7*C7</f>
        <v/>
      </c>
      <c r="H7" s="58" t="n"/>
      <c r="I7" s="58" t="n"/>
      <c r="J7" s="58" t="n"/>
      <c r="K7" s="59">
        <f>AVERAGE(H7:J7)</f>
        <v/>
      </c>
      <c r="L7" s="43">
        <f>IF(G7&lt;&gt;0,K7*C7/G7,"")</f>
        <v/>
      </c>
      <c r="M7" s="58" t="n"/>
      <c r="N7" s="58" t="n"/>
      <c r="O7" s="58" t="n"/>
      <c r="P7" s="59">
        <f>AVERAGE(M7:O7)</f>
        <v/>
      </c>
      <c r="Q7" s="35" t="n"/>
      <c r="R7" s="43">
        <f>IF(AND(G7&lt;&gt;0,P7&lt;&gt;0),P7*C7/G7*Q7,"")</f>
        <v/>
      </c>
      <c r="S7" s="58" t="n"/>
      <c r="T7" s="58" t="n"/>
      <c r="U7" s="58" t="n"/>
      <c r="V7" s="59">
        <f>AVERAGE(S7:U7)</f>
        <v/>
      </c>
      <c r="W7" s="35" t="n"/>
      <c r="X7" s="43">
        <f>IF(AND(G7&lt;&gt;0,V7&lt;&gt;0),V7*C7/G7*W7,"")</f>
        <v/>
      </c>
      <c r="Y7" s="58" t="n"/>
      <c r="Z7" s="58" t="n"/>
      <c r="AA7" s="58" t="n"/>
      <c r="AB7" s="59">
        <f>AVERAGE(Y7:AA7)</f>
        <v/>
      </c>
      <c r="AC7" s="35" t="n"/>
      <c r="AD7" s="43">
        <f>IF(AND(G7&lt;&gt;0,AB7&lt;&gt;0),AB7*C7/G7*AC7,"")</f>
        <v/>
      </c>
      <c r="AE7" s="43">
        <f>IFERROR(AVERAGE(L7,R7,X7,AD7),"")</f>
        <v/>
      </c>
      <c r="AF7" s="51">
        <f>IFERROR((MAX(L7,R7,X7,AD7)-MIN(L7,R7,X7,AD7))/AE7*100,"")</f>
        <v/>
      </c>
      <c r="AG7" s="72">
        <f>IF(AF7="","",IF(AF7&lt;=2,"PASS","FAIL"))</f>
        <v/>
      </c>
    </row>
    <row r="8" ht="16" customHeight="1">
      <c r="A8" s="38" t="n">
        <v>4</v>
      </c>
      <c r="B8" s="36" t="n"/>
      <c r="C8" s="35" t="n"/>
      <c r="D8" s="58" t="n"/>
      <c r="E8" s="58" t="n"/>
      <c r="F8" s="59">
        <f>AVERAGE(D8,E8)</f>
        <v/>
      </c>
      <c r="G8" s="59">
        <f>F8*C8</f>
        <v/>
      </c>
      <c r="H8" s="58" t="n"/>
      <c r="I8" s="58" t="n"/>
      <c r="J8" s="58" t="n"/>
      <c r="K8" s="59">
        <f>AVERAGE(H8:J8)</f>
        <v/>
      </c>
      <c r="L8" s="43">
        <f>IF(G8&lt;&gt;0,K8*C8/G8,"")</f>
        <v/>
      </c>
      <c r="M8" s="58" t="n"/>
      <c r="N8" s="58" t="n"/>
      <c r="O8" s="58" t="n"/>
      <c r="P8" s="59">
        <f>AVERAGE(M8:O8)</f>
        <v/>
      </c>
      <c r="Q8" s="35" t="n"/>
      <c r="R8" s="43">
        <f>IF(AND(G8&lt;&gt;0,P8&lt;&gt;0),P8*C8/G8*Q8,"")</f>
        <v/>
      </c>
      <c r="S8" s="58" t="n"/>
      <c r="T8" s="58" t="n"/>
      <c r="U8" s="58" t="n"/>
      <c r="V8" s="59">
        <f>AVERAGE(S8:U8)</f>
        <v/>
      </c>
      <c r="W8" s="35" t="n"/>
      <c r="X8" s="43">
        <f>IF(AND(G8&lt;&gt;0,V8&lt;&gt;0),V8*C8/G8*W8,"")</f>
        <v/>
      </c>
      <c r="Y8" s="58" t="n"/>
      <c r="Z8" s="58" t="n"/>
      <c r="AA8" s="58" t="n"/>
      <c r="AB8" s="59">
        <f>AVERAGE(Y8:AA8)</f>
        <v/>
      </c>
      <c r="AC8" s="35" t="n"/>
      <c r="AD8" s="43">
        <f>IF(AND(G8&lt;&gt;0,AB8&lt;&gt;0),AB8*C8/G8*AC8,"")</f>
        <v/>
      </c>
      <c r="AE8" s="43">
        <f>IFERROR(AVERAGE(L8,R8,X8,AD8),"")</f>
        <v/>
      </c>
      <c r="AF8" s="51">
        <f>IFERROR((MAX(L8,R8,X8,AD8)-MIN(L8,R8,X8,AD8))/AE8*100,"")</f>
        <v/>
      </c>
      <c r="AG8" s="72">
        <f>IF(AF8="","",IF(AF8&lt;=2,"PASS","FAIL"))</f>
        <v/>
      </c>
    </row>
    <row r="9" ht="16" customHeight="1">
      <c r="A9" s="38" t="n">
        <v>5</v>
      </c>
      <c r="B9" s="36" t="n"/>
      <c r="C9" s="35" t="n"/>
      <c r="D9" s="58" t="n"/>
      <c r="E9" s="58" t="n"/>
      <c r="F9" s="59">
        <f>AVERAGE(D9,E9)</f>
        <v/>
      </c>
      <c r="G9" s="59">
        <f>F9*C9</f>
        <v/>
      </c>
      <c r="H9" s="58" t="n"/>
      <c r="I9" s="58" t="n"/>
      <c r="J9" s="58" t="n"/>
      <c r="K9" s="59">
        <f>AVERAGE(H9:J9)</f>
        <v/>
      </c>
      <c r="L9" s="43">
        <f>IF(G9&lt;&gt;0,K9*C9/G9,"")</f>
        <v/>
      </c>
      <c r="M9" s="58" t="n"/>
      <c r="N9" s="58" t="n"/>
      <c r="O9" s="58" t="n"/>
      <c r="P9" s="59">
        <f>AVERAGE(M9:O9)</f>
        <v/>
      </c>
      <c r="Q9" s="35" t="n"/>
      <c r="R9" s="43">
        <f>IF(AND(G9&lt;&gt;0,P9&lt;&gt;0),P9*C9/G9*Q9,"")</f>
        <v/>
      </c>
      <c r="S9" s="58" t="n"/>
      <c r="T9" s="58" t="n"/>
      <c r="U9" s="58" t="n"/>
      <c r="V9" s="59">
        <f>AVERAGE(S9:U9)</f>
        <v/>
      </c>
      <c r="W9" s="35" t="n"/>
      <c r="X9" s="43">
        <f>IF(AND(G9&lt;&gt;0,V9&lt;&gt;0),V9*C9/G9*W9,"")</f>
        <v/>
      </c>
      <c r="Y9" s="58" t="n"/>
      <c r="Z9" s="58" t="n"/>
      <c r="AA9" s="58" t="n"/>
      <c r="AB9" s="59">
        <f>AVERAGE(Y9:AA9)</f>
        <v/>
      </c>
      <c r="AC9" s="35" t="n"/>
      <c r="AD9" s="43">
        <f>IF(AND(G9&lt;&gt;0,AB9&lt;&gt;0),AB9*C9/G9*AC9,"")</f>
        <v/>
      </c>
      <c r="AE9" s="43">
        <f>IFERROR(AVERAGE(L9,R9,X9,AD9),"")</f>
        <v/>
      </c>
      <c r="AF9" s="51">
        <f>IFERROR((MAX(L9,R9,X9,AD9)-MIN(L9,R9,X9,AD9))/AE9*100,"")</f>
        <v/>
      </c>
      <c r="AG9" s="72">
        <f>IF(AF9="","",IF(AF9&lt;=2,"PASS","FAIL"))</f>
        <v/>
      </c>
    </row>
    <row r="10" ht="16" customHeight="1">
      <c r="A10" s="38" t="n">
        <v>6</v>
      </c>
      <c r="B10" s="36" t="n"/>
      <c r="C10" s="35" t="n"/>
      <c r="D10" s="58" t="n"/>
      <c r="E10" s="58" t="n"/>
      <c r="F10" s="59">
        <f>AVERAGE(D10,E10)</f>
        <v/>
      </c>
      <c r="G10" s="59">
        <f>F10*C10</f>
        <v/>
      </c>
      <c r="H10" s="58" t="n"/>
      <c r="I10" s="58" t="n"/>
      <c r="J10" s="58" t="n"/>
      <c r="K10" s="59">
        <f>AVERAGE(H10:J10)</f>
        <v/>
      </c>
      <c r="L10" s="43">
        <f>IF(G10&lt;&gt;0,K10*C10/G10,"")</f>
        <v/>
      </c>
      <c r="M10" s="58" t="n"/>
      <c r="N10" s="58" t="n"/>
      <c r="O10" s="58" t="n"/>
      <c r="P10" s="59">
        <f>AVERAGE(M10:O10)</f>
        <v/>
      </c>
      <c r="Q10" s="35" t="n"/>
      <c r="R10" s="43">
        <f>IF(AND(G10&lt;&gt;0,P10&lt;&gt;0),P10*C10/G10*Q10,"")</f>
        <v/>
      </c>
      <c r="S10" s="58" t="n"/>
      <c r="T10" s="58" t="n"/>
      <c r="U10" s="58" t="n"/>
      <c r="V10" s="59">
        <f>AVERAGE(S10:U10)</f>
        <v/>
      </c>
      <c r="W10" s="35" t="n"/>
      <c r="X10" s="43">
        <f>IF(AND(G10&lt;&gt;0,V10&lt;&gt;0),V10*C10/G10*W10,"")</f>
        <v/>
      </c>
      <c r="Y10" s="58" t="n"/>
      <c r="Z10" s="58" t="n"/>
      <c r="AA10" s="58" t="n"/>
      <c r="AB10" s="59">
        <f>AVERAGE(Y10:AA10)</f>
        <v/>
      </c>
      <c r="AC10" s="35" t="n"/>
      <c r="AD10" s="43">
        <f>IF(AND(G10&lt;&gt;0,AB10&lt;&gt;0),AB10*C10/G10*AC10,"")</f>
        <v/>
      </c>
      <c r="AE10" s="43">
        <f>IFERROR(AVERAGE(L10,R10,X10,AD10),"")</f>
        <v/>
      </c>
      <c r="AF10" s="51">
        <f>IFERROR((MAX(L10,R10,X10,AD10)-MIN(L10,R10,X10,AD10))/AE10*100,"")</f>
        <v/>
      </c>
      <c r="AG10" s="72">
        <f>IF(AF10="","",IF(AF10&lt;=2,"PASS","FAIL"))</f>
        <v/>
      </c>
    </row>
    <row r="11" ht="16" customHeight="1">
      <c r="A11" s="38" t="n">
        <v>8</v>
      </c>
      <c r="B11" s="36" t="n"/>
      <c r="C11" s="35" t="n"/>
      <c r="D11" s="58" t="n"/>
      <c r="E11" s="58" t="n"/>
      <c r="F11" s="59">
        <f>AVERAGE(D11,E11)</f>
        <v/>
      </c>
      <c r="G11" s="59">
        <f>F11*C11</f>
        <v/>
      </c>
      <c r="H11" s="58" t="n"/>
      <c r="I11" s="58" t="n"/>
      <c r="J11" s="58" t="n"/>
      <c r="K11" s="59">
        <f>AVERAGE(H11:J11)</f>
        <v/>
      </c>
      <c r="L11" s="43">
        <f>IF(G11&lt;&gt;0,K11*C11/G11,"")</f>
        <v/>
      </c>
      <c r="M11" s="58" t="n"/>
      <c r="N11" s="58" t="n"/>
      <c r="O11" s="58" t="n"/>
      <c r="P11" s="59">
        <f>AVERAGE(M11:O11)</f>
        <v/>
      </c>
      <c r="Q11" s="35" t="n"/>
      <c r="R11" s="43">
        <f>IF(AND(G11&lt;&gt;0,P11&lt;&gt;0),P11*C11/G11*Q11,"")</f>
        <v/>
      </c>
      <c r="S11" s="58" t="n"/>
      <c r="T11" s="58" t="n"/>
      <c r="U11" s="58" t="n"/>
      <c r="V11" s="59">
        <f>AVERAGE(S11:U11)</f>
        <v/>
      </c>
      <c r="W11" s="35" t="n"/>
      <c r="X11" s="43">
        <f>IF(AND(G11&lt;&gt;0,V11&lt;&gt;0),V11*C11/G11*W11,"")</f>
        <v/>
      </c>
      <c r="Y11" s="58" t="n"/>
      <c r="Z11" s="58" t="n"/>
      <c r="AA11" s="58" t="n"/>
      <c r="AB11" s="59">
        <f>AVERAGE(Y11:AA11)</f>
        <v/>
      </c>
      <c r="AC11" s="35" t="n"/>
      <c r="AD11" s="43">
        <f>IF(AND(G11&lt;&gt;0,AB11&lt;&gt;0),AB11*C11/G11*AC11,"")</f>
        <v/>
      </c>
      <c r="AE11" s="43">
        <f>IFERROR(AVERAGE(L11,R11,X11,AD11),"")</f>
        <v/>
      </c>
      <c r="AF11" s="51">
        <f>IFERROR((MAX(L11,R11,X11,AD11)-MIN(L11,R11,X11,AD11))/AE11*100,"")</f>
        <v/>
      </c>
      <c r="AG11" s="72">
        <f>IF(AF11="","",IF(AF11&lt;=2,"PASS","FAIL"))</f>
        <v/>
      </c>
    </row>
    <row r="12" ht="16" customHeight="1">
      <c r="A12" s="38" t="n">
        <v>10</v>
      </c>
      <c r="B12" s="36" t="n"/>
      <c r="C12" s="35" t="n"/>
      <c r="D12" s="58" t="n"/>
      <c r="E12" s="58" t="n"/>
      <c r="F12" s="59">
        <f>AVERAGE(D12,E12)</f>
        <v/>
      </c>
      <c r="G12" s="59">
        <f>F12*C12</f>
        <v/>
      </c>
      <c r="H12" s="58" t="n"/>
      <c r="I12" s="58" t="n"/>
      <c r="J12" s="58" t="n"/>
      <c r="K12" s="59">
        <f>AVERAGE(H12:J12)</f>
        <v/>
      </c>
      <c r="L12" s="43">
        <f>IF(G12&lt;&gt;0,K12*C12/G12,"")</f>
        <v/>
      </c>
      <c r="M12" s="58" t="n"/>
      <c r="N12" s="58" t="n"/>
      <c r="O12" s="58" t="n"/>
      <c r="P12" s="59">
        <f>AVERAGE(M12:O12)</f>
        <v/>
      </c>
      <c r="Q12" s="35" t="n"/>
      <c r="R12" s="43">
        <f>IF(AND(G12&lt;&gt;0,P12&lt;&gt;0),P12*C12/G12*Q12,"")</f>
        <v/>
      </c>
      <c r="S12" s="58" t="n"/>
      <c r="T12" s="58" t="n"/>
      <c r="U12" s="58" t="n"/>
      <c r="V12" s="59">
        <f>AVERAGE(S12:U12)</f>
        <v/>
      </c>
      <c r="W12" s="35" t="n"/>
      <c r="X12" s="43">
        <f>IF(AND(G12&lt;&gt;0,V12&lt;&gt;0),V12*C12/G12*W12,"")</f>
        <v/>
      </c>
      <c r="Y12" s="58" t="n"/>
      <c r="Z12" s="58" t="n"/>
      <c r="AA12" s="58" t="n"/>
      <c r="AB12" s="59">
        <f>AVERAGE(Y12:AA12)</f>
        <v/>
      </c>
      <c r="AC12" s="35" t="n"/>
      <c r="AD12" s="43">
        <f>IF(AND(G12&lt;&gt;0,AB12&lt;&gt;0),AB12*C12/G12*AC12,"")</f>
        <v/>
      </c>
      <c r="AE12" s="43">
        <f>IFERROR(AVERAGE(L12,R12,X12,AD12),"")</f>
        <v/>
      </c>
      <c r="AF12" s="51">
        <f>IFERROR((MAX(L12,R12,X12,AD12)-MIN(L12,R12,X12,AD12))/AE12*100,"")</f>
        <v/>
      </c>
      <c r="AG12" s="72">
        <f>IF(AF12="","",IF(AF12&lt;=2,"PASS","FAIL"))</f>
        <v/>
      </c>
    </row>
    <row r="16">
      <c r="A16" s="44" t="inlineStr">
        <is>
          <t>10 MV WFF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3" t="n"/>
    </row>
    <row r="17">
      <c r="A17" s="66" t="inlineStr">
        <is>
          <t>Field</t>
        </is>
      </c>
      <c r="B17" s="66" t="inlineStr">
        <is>
          <t>Sclin
[cm]</t>
        </is>
      </c>
      <c r="C17" s="66" t="inlineStr">
        <is>
          <t>kTP</t>
        </is>
      </c>
      <c r="D17" s="73" t="inlineStr">
        <is>
          <t>Reference (10×10) — interleaved</t>
        </is>
      </c>
      <c r="E17" s="2" t="n"/>
      <c r="F17" s="3" t="n"/>
      <c r="G17" s="66" t="inlineStr">
        <is>
          <t>Mref
corr</t>
        </is>
      </c>
      <c r="H17" s="73" t="inlineStr">
        <is>
          <t>Farmer</t>
        </is>
      </c>
      <c r="I17" s="2" t="n"/>
      <c r="J17" s="2" t="n"/>
      <c r="K17" s="3" t="n"/>
      <c r="M17" s="68" t="inlineStr">
        <is>
          <t>A16</t>
        </is>
      </c>
      <c r="N17" s="2" t="n"/>
      <c r="O17" s="2" t="n"/>
      <c r="P17" s="3" t="n"/>
      <c r="R17" s="69" t="inlineStr">
        <is>
          <t>Edge</t>
        </is>
      </c>
      <c r="S17" s="2" t="n"/>
      <c r="T17" s="2" t="n"/>
      <c r="U17" s="3" t="n"/>
      <c r="W17" s="70" t="inlineStr">
        <is>
          <t>µDiamond</t>
        </is>
      </c>
      <c r="X17" s="2" t="n"/>
      <c r="Y17" s="2" t="n"/>
      <c r="Z17" s="3" t="n"/>
      <c r="AB17" s="66" t="inlineStr">
        <is>
          <t>Ω
mean</t>
        </is>
      </c>
      <c r="AC17" s="66" t="inlineStr">
        <is>
          <t>Dev
[%]</t>
        </is>
      </c>
      <c r="AD17" s="66" t="inlineStr">
        <is>
          <t>Pass?</t>
        </is>
      </c>
    </row>
    <row r="18">
      <c r="A18" s="71" t="inlineStr">
        <is>
          <t>Nom
[cm]</t>
        </is>
      </c>
      <c r="B18" s="71" t="inlineStr">
        <is>
          <t>→FWHM</t>
        </is>
      </c>
      <c r="C18" s="71" t="inlineStr">
        <is>
          <t>env→</t>
        </is>
      </c>
      <c r="D18" s="71" t="inlineStr">
        <is>
          <t>Mbefore</t>
        </is>
      </c>
      <c r="E18" s="71" t="inlineStr">
        <is>
          <t>Mafter</t>
        </is>
      </c>
      <c r="F18" s="71" t="inlineStr">
        <is>
          <t>Mref</t>
        </is>
      </c>
      <c r="G18" s="71" t="inlineStr">
        <is>
          <t>Mcorr</t>
        </is>
      </c>
      <c r="H18" s="71" t="inlineStr">
        <is>
          <t>M1</t>
        </is>
      </c>
      <c r="I18" s="71" t="inlineStr">
        <is>
          <t>M2</t>
        </is>
      </c>
      <c r="J18" s="71" t="inlineStr">
        <is>
          <t>M3</t>
        </is>
      </c>
      <c r="K18" s="71" t="inlineStr">
        <is>
          <t>Mmean</t>
        </is>
      </c>
      <c r="L18" s="71" t="inlineStr">
        <is>
          <t>Ω_Farm</t>
        </is>
      </c>
      <c r="M18" s="71" t="inlineStr">
        <is>
          <t>M1</t>
        </is>
      </c>
      <c r="N18" s="71" t="inlineStr">
        <is>
          <t>M2</t>
        </is>
      </c>
      <c r="O18" s="71" t="inlineStr">
        <is>
          <t>M3</t>
        </is>
      </c>
      <c r="P18" s="71" t="inlineStr">
        <is>
          <t>Mmean</t>
        </is>
      </c>
      <c r="Q18" s="71" t="inlineStr">
        <is>
          <t>k_A16</t>
        </is>
      </c>
      <c r="R18" s="71" t="inlineStr">
        <is>
          <t>Ω_A16</t>
        </is>
      </c>
      <c r="S18" s="71" t="inlineStr">
        <is>
          <t>M1</t>
        </is>
      </c>
      <c r="T18" s="71" t="inlineStr">
        <is>
          <t>M2</t>
        </is>
      </c>
      <c r="U18" s="71" t="inlineStr">
        <is>
          <t>M3</t>
        </is>
      </c>
      <c r="V18" s="71" t="inlineStr">
        <is>
          <t>Mmean</t>
        </is>
      </c>
      <c r="W18" s="71" t="inlineStr">
        <is>
          <t>k_Edge</t>
        </is>
      </c>
      <c r="X18" s="71" t="inlineStr">
        <is>
          <t>Ω_Edge</t>
        </is>
      </c>
      <c r="Y18" s="71" t="inlineStr">
        <is>
          <t>M1</t>
        </is>
      </c>
      <c r="Z18" s="71" t="inlineStr">
        <is>
          <t>M2</t>
        </is>
      </c>
      <c r="AA18" s="71" t="inlineStr">
        <is>
          <t>M3</t>
        </is>
      </c>
      <c r="AB18" s="71" t="inlineStr">
        <is>
          <t>Mmean</t>
        </is>
      </c>
      <c r="AC18" s="71" t="inlineStr">
        <is>
          <t>k_uDm</t>
        </is>
      </c>
      <c r="AD18" s="71" t="inlineStr">
        <is>
          <t>Ω_uDm</t>
        </is>
      </c>
      <c r="AE18" s="71" t="inlineStr">
        <is>
          <t>Mean</t>
        </is>
      </c>
      <c r="AF18" s="71" t="inlineStr">
        <is>
          <t>Max%</t>
        </is>
      </c>
      <c r="AG18" s="71" t="inlineStr">
        <is>
          <t>≤2%?</t>
        </is>
      </c>
    </row>
    <row r="19" ht="16" customHeight="1">
      <c r="A19" s="38" t="n">
        <v>3</v>
      </c>
      <c r="B19" s="36" t="n"/>
      <c r="C19" s="35" t="n"/>
      <c r="D19" s="58" t="n"/>
      <c r="E19" s="58" t="n"/>
      <c r="F19" s="59">
        <f>AVERAGE(D19,E19)</f>
        <v/>
      </c>
      <c r="G19" s="59">
        <f>F19*C19</f>
        <v/>
      </c>
      <c r="H19" s="58" t="n"/>
      <c r="I19" s="58" t="n"/>
      <c r="J19" s="58" t="n"/>
      <c r="K19" s="59">
        <f>AVERAGE(H19:J19)</f>
        <v/>
      </c>
      <c r="L19" s="43">
        <f>IF(G19&lt;&gt;0,K19*C19/G19,"")</f>
        <v/>
      </c>
      <c r="M19" s="58" t="n"/>
      <c r="N19" s="58" t="n"/>
      <c r="O19" s="58" t="n"/>
      <c r="P19" s="59">
        <f>AVERAGE(M19:O19)</f>
        <v/>
      </c>
      <c r="Q19" s="35" t="n"/>
      <c r="R19" s="43">
        <f>IF(AND(G19&lt;&gt;0,P19&lt;&gt;0),P19*C19/G19*Q19,"")</f>
        <v/>
      </c>
      <c r="S19" s="58" t="n"/>
      <c r="T19" s="58" t="n"/>
      <c r="U19" s="58" t="n"/>
      <c r="V19" s="59">
        <f>AVERAGE(S19:U19)</f>
        <v/>
      </c>
      <c r="W19" s="35" t="n"/>
      <c r="X19" s="43">
        <f>IF(AND(G19&lt;&gt;0,V19&lt;&gt;0),V19*C19/G19*W19,"")</f>
        <v/>
      </c>
      <c r="Y19" s="58" t="n"/>
      <c r="Z19" s="58" t="n"/>
      <c r="AA19" s="58" t="n"/>
      <c r="AB19" s="59">
        <f>AVERAGE(Y19:AA19)</f>
        <v/>
      </c>
      <c r="AC19" s="35" t="n"/>
      <c r="AD19" s="43">
        <f>IF(AND(G19&lt;&gt;0,AB19&lt;&gt;0),AB19*C19/G19*AC19,"")</f>
        <v/>
      </c>
      <c r="AE19" s="43">
        <f>IFERROR(AVERAGE(L19,R19,X19,AD19),"")</f>
        <v/>
      </c>
      <c r="AF19" s="51">
        <f>IFERROR((MAX(L19,R19,X19,AD19)-MIN(L19,R19,X19,AD19))/AE19*100,"")</f>
        <v/>
      </c>
      <c r="AG19" s="72">
        <f>IF(AF19="","",IF(AF19&lt;=2,"PASS","FAIL"))</f>
        <v/>
      </c>
    </row>
    <row r="20" ht="16" customHeight="1">
      <c r="A20" s="38" t="n">
        <v>4</v>
      </c>
      <c r="B20" s="36" t="n"/>
      <c r="C20" s="35" t="n"/>
      <c r="D20" s="58" t="n"/>
      <c r="E20" s="58" t="n"/>
      <c r="F20" s="59">
        <f>AVERAGE(D20,E20)</f>
        <v/>
      </c>
      <c r="G20" s="59">
        <f>F20*C20</f>
        <v/>
      </c>
      <c r="H20" s="58" t="n"/>
      <c r="I20" s="58" t="n"/>
      <c r="J20" s="58" t="n"/>
      <c r="K20" s="59">
        <f>AVERAGE(H20:J20)</f>
        <v/>
      </c>
      <c r="L20" s="43">
        <f>IF(G20&lt;&gt;0,K20*C20/G20,"")</f>
        <v/>
      </c>
      <c r="M20" s="58" t="n"/>
      <c r="N20" s="58" t="n"/>
      <c r="O20" s="58" t="n"/>
      <c r="P20" s="59">
        <f>AVERAGE(M20:O20)</f>
        <v/>
      </c>
      <c r="Q20" s="35" t="n"/>
      <c r="R20" s="43">
        <f>IF(AND(G20&lt;&gt;0,P20&lt;&gt;0),P20*C20/G20*Q20,"")</f>
        <v/>
      </c>
      <c r="S20" s="58" t="n"/>
      <c r="T20" s="58" t="n"/>
      <c r="U20" s="58" t="n"/>
      <c r="V20" s="59">
        <f>AVERAGE(S20:U20)</f>
        <v/>
      </c>
      <c r="W20" s="35" t="n"/>
      <c r="X20" s="43">
        <f>IF(AND(G20&lt;&gt;0,V20&lt;&gt;0),V20*C20/G20*W20,"")</f>
        <v/>
      </c>
      <c r="Y20" s="58" t="n"/>
      <c r="Z20" s="58" t="n"/>
      <c r="AA20" s="58" t="n"/>
      <c r="AB20" s="59">
        <f>AVERAGE(Y20:AA20)</f>
        <v/>
      </c>
      <c r="AC20" s="35" t="n"/>
      <c r="AD20" s="43">
        <f>IF(AND(G20&lt;&gt;0,AB20&lt;&gt;0),AB20*C20/G20*AC20,"")</f>
        <v/>
      </c>
      <c r="AE20" s="43">
        <f>IFERROR(AVERAGE(L20,R20,X20,AD20),"")</f>
        <v/>
      </c>
      <c r="AF20" s="51">
        <f>IFERROR((MAX(L20,R20,X20,AD20)-MIN(L20,R20,X20,AD20))/AE20*100,"")</f>
        <v/>
      </c>
      <c r="AG20" s="72">
        <f>IF(AF20="","",IF(AF20&lt;=2,"PASS","FAIL"))</f>
        <v/>
      </c>
    </row>
    <row r="21" ht="16" customHeight="1">
      <c r="A21" s="38" t="n">
        <v>5</v>
      </c>
      <c r="B21" s="36" t="n"/>
      <c r="C21" s="35" t="n"/>
      <c r="D21" s="58" t="n"/>
      <c r="E21" s="58" t="n"/>
      <c r="F21" s="59">
        <f>AVERAGE(D21,E21)</f>
        <v/>
      </c>
      <c r="G21" s="59">
        <f>F21*C21</f>
        <v/>
      </c>
      <c r="H21" s="58" t="n"/>
      <c r="I21" s="58" t="n"/>
      <c r="J21" s="58" t="n"/>
      <c r="K21" s="59">
        <f>AVERAGE(H21:J21)</f>
        <v/>
      </c>
      <c r="L21" s="43">
        <f>IF(G21&lt;&gt;0,K21*C21/G21,"")</f>
        <v/>
      </c>
      <c r="M21" s="58" t="n"/>
      <c r="N21" s="58" t="n"/>
      <c r="O21" s="58" t="n"/>
      <c r="P21" s="59">
        <f>AVERAGE(M21:O21)</f>
        <v/>
      </c>
      <c r="Q21" s="35" t="n"/>
      <c r="R21" s="43">
        <f>IF(AND(G21&lt;&gt;0,P21&lt;&gt;0),P21*C21/G21*Q21,"")</f>
        <v/>
      </c>
      <c r="S21" s="58" t="n"/>
      <c r="T21" s="58" t="n"/>
      <c r="U21" s="58" t="n"/>
      <c r="V21" s="59">
        <f>AVERAGE(S21:U21)</f>
        <v/>
      </c>
      <c r="W21" s="35" t="n"/>
      <c r="X21" s="43">
        <f>IF(AND(G21&lt;&gt;0,V21&lt;&gt;0),V21*C21/G21*W21,"")</f>
        <v/>
      </c>
      <c r="Y21" s="58" t="n"/>
      <c r="Z21" s="58" t="n"/>
      <c r="AA21" s="58" t="n"/>
      <c r="AB21" s="59">
        <f>AVERAGE(Y21:AA21)</f>
        <v/>
      </c>
      <c r="AC21" s="35" t="n"/>
      <c r="AD21" s="43">
        <f>IF(AND(G21&lt;&gt;0,AB21&lt;&gt;0),AB21*C21/G21*AC21,"")</f>
        <v/>
      </c>
      <c r="AE21" s="43">
        <f>IFERROR(AVERAGE(L21,R21,X21,AD21),"")</f>
        <v/>
      </c>
      <c r="AF21" s="51">
        <f>IFERROR((MAX(L21,R21,X21,AD21)-MIN(L21,R21,X21,AD21))/AE21*100,"")</f>
        <v/>
      </c>
      <c r="AG21" s="72">
        <f>IF(AF21="","",IF(AF21&lt;=2,"PASS","FAIL"))</f>
        <v/>
      </c>
    </row>
    <row r="22" ht="16" customHeight="1">
      <c r="A22" s="38" t="n">
        <v>6</v>
      </c>
      <c r="B22" s="36" t="n"/>
      <c r="C22" s="35" t="n"/>
      <c r="D22" s="58" t="n"/>
      <c r="E22" s="58" t="n"/>
      <c r="F22" s="59">
        <f>AVERAGE(D22,E22)</f>
        <v/>
      </c>
      <c r="G22" s="59">
        <f>F22*C22</f>
        <v/>
      </c>
      <c r="H22" s="58" t="n"/>
      <c r="I22" s="58" t="n"/>
      <c r="J22" s="58" t="n"/>
      <c r="K22" s="59">
        <f>AVERAGE(H22:J22)</f>
        <v/>
      </c>
      <c r="L22" s="43">
        <f>IF(G22&lt;&gt;0,K22*C22/G22,"")</f>
        <v/>
      </c>
      <c r="M22" s="58" t="n"/>
      <c r="N22" s="58" t="n"/>
      <c r="O22" s="58" t="n"/>
      <c r="P22" s="59">
        <f>AVERAGE(M22:O22)</f>
        <v/>
      </c>
      <c r="Q22" s="35" t="n"/>
      <c r="R22" s="43">
        <f>IF(AND(G22&lt;&gt;0,P22&lt;&gt;0),P22*C22/G22*Q22,"")</f>
        <v/>
      </c>
      <c r="S22" s="58" t="n"/>
      <c r="T22" s="58" t="n"/>
      <c r="U22" s="58" t="n"/>
      <c r="V22" s="59">
        <f>AVERAGE(S22:U22)</f>
        <v/>
      </c>
      <c r="W22" s="35" t="n"/>
      <c r="X22" s="43">
        <f>IF(AND(G22&lt;&gt;0,V22&lt;&gt;0),V22*C22/G22*W22,"")</f>
        <v/>
      </c>
      <c r="Y22" s="58" t="n"/>
      <c r="Z22" s="58" t="n"/>
      <c r="AA22" s="58" t="n"/>
      <c r="AB22" s="59">
        <f>AVERAGE(Y22:AA22)</f>
        <v/>
      </c>
      <c r="AC22" s="35" t="n"/>
      <c r="AD22" s="43">
        <f>IF(AND(G22&lt;&gt;0,AB22&lt;&gt;0),AB22*C22/G22*AC22,"")</f>
        <v/>
      </c>
      <c r="AE22" s="43">
        <f>IFERROR(AVERAGE(L22,R22,X22,AD22),"")</f>
        <v/>
      </c>
      <c r="AF22" s="51">
        <f>IFERROR((MAX(L22,R22,X22,AD22)-MIN(L22,R22,X22,AD22))/AE22*100,"")</f>
        <v/>
      </c>
      <c r="AG22" s="72">
        <f>IF(AF22="","",IF(AF22&lt;=2,"PASS","FAIL"))</f>
        <v/>
      </c>
    </row>
    <row r="23" ht="16" customHeight="1">
      <c r="A23" s="38" t="n">
        <v>8</v>
      </c>
      <c r="B23" s="36" t="n"/>
      <c r="C23" s="35" t="n"/>
      <c r="D23" s="58" t="n"/>
      <c r="E23" s="58" t="n"/>
      <c r="F23" s="59">
        <f>AVERAGE(D23,E23)</f>
        <v/>
      </c>
      <c r="G23" s="59">
        <f>F23*C23</f>
        <v/>
      </c>
      <c r="H23" s="58" t="n"/>
      <c r="I23" s="58" t="n"/>
      <c r="J23" s="58" t="n"/>
      <c r="K23" s="59">
        <f>AVERAGE(H23:J23)</f>
        <v/>
      </c>
      <c r="L23" s="43">
        <f>IF(G23&lt;&gt;0,K23*C23/G23,"")</f>
        <v/>
      </c>
      <c r="M23" s="58" t="n"/>
      <c r="N23" s="58" t="n"/>
      <c r="O23" s="58" t="n"/>
      <c r="P23" s="59">
        <f>AVERAGE(M23:O23)</f>
        <v/>
      </c>
      <c r="Q23" s="35" t="n"/>
      <c r="R23" s="43">
        <f>IF(AND(G23&lt;&gt;0,P23&lt;&gt;0),P23*C23/G23*Q23,"")</f>
        <v/>
      </c>
      <c r="S23" s="58" t="n"/>
      <c r="T23" s="58" t="n"/>
      <c r="U23" s="58" t="n"/>
      <c r="V23" s="59">
        <f>AVERAGE(S23:U23)</f>
        <v/>
      </c>
      <c r="W23" s="35" t="n"/>
      <c r="X23" s="43">
        <f>IF(AND(G23&lt;&gt;0,V23&lt;&gt;0),V23*C23/G23*W23,"")</f>
        <v/>
      </c>
      <c r="Y23" s="58" t="n"/>
      <c r="Z23" s="58" t="n"/>
      <c r="AA23" s="58" t="n"/>
      <c r="AB23" s="59">
        <f>AVERAGE(Y23:AA23)</f>
        <v/>
      </c>
      <c r="AC23" s="35" t="n"/>
      <c r="AD23" s="43">
        <f>IF(AND(G23&lt;&gt;0,AB23&lt;&gt;0),AB23*C23/G23*AC23,"")</f>
        <v/>
      </c>
      <c r="AE23" s="43">
        <f>IFERROR(AVERAGE(L23,R23,X23,AD23),"")</f>
        <v/>
      </c>
      <c r="AF23" s="51">
        <f>IFERROR((MAX(L23,R23,X23,AD23)-MIN(L23,R23,X23,AD23))/AE23*100,"")</f>
        <v/>
      </c>
      <c r="AG23" s="72">
        <f>IF(AF23="","",IF(AF23&lt;=2,"PASS","FAIL"))</f>
        <v/>
      </c>
    </row>
    <row r="24" ht="16" customHeight="1">
      <c r="A24" s="38" t="n">
        <v>10</v>
      </c>
      <c r="B24" s="36" t="n"/>
      <c r="C24" s="35" t="n"/>
      <c r="D24" s="58" t="n"/>
      <c r="E24" s="58" t="n"/>
      <c r="F24" s="59">
        <f>AVERAGE(D24,E24)</f>
        <v/>
      </c>
      <c r="G24" s="59">
        <f>F24*C24</f>
        <v/>
      </c>
      <c r="H24" s="58" t="n"/>
      <c r="I24" s="58" t="n"/>
      <c r="J24" s="58" t="n"/>
      <c r="K24" s="59">
        <f>AVERAGE(H24:J24)</f>
        <v/>
      </c>
      <c r="L24" s="43">
        <f>IF(G24&lt;&gt;0,K24*C24/G24,"")</f>
        <v/>
      </c>
      <c r="M24" s="58" t="n"/>
      <c r="N24" s="58" t="n"/>
      <c r="O24" s="58" t="n"/>
      <c r="P24" s="59">
        <f>AVERAGE(M24:O24)</f>
        <v/>
      </c>
      <c r="Q24" s="35" t="n"/>
      <c r="R24" s="43">
        <f>IF(AND(G24&lt;&gt;0,P24&lt;&gt;0),P24*C24/G24*Q24,"")</f>
        <v/>
      </c>
      <c r="S24" s="58" t="n"/>
      <c r="T24" s="58" t="n"/>
      <c r="U24" s="58" t="n"/>
      <c r="V24" s="59">
        <f>AVERAGE(S24:U24)</f>
        <v/>
      </c>
      <c r="W24" s="35" t="n"/>
      <c r="X24" s="43">
        <f>IF(AND(G24&lt;&gt;0,V24&lt;&gt;0),V24*C24/G24*W24,"")</f>
        <v/>
      </c>
      <c r="Y24" s="58" t="n"/>
      <c r="Z24" s="58" t="n"/>
      <c r="AA24" s="58" t="n"/>
      <c r="AB24" s="59">
        <f>AVERAGE(Y24:AA24)</f>
        <v/>
      </c>
      <c r="AC24" s="35" t="n"/>
      <c r="AD24" s="43">
        <f>IF(AND(G24&lt;&gt;0,AB24&lt;&gt;0),AB24*C24/G24*AC24,"")</f>
        <v/>
      </c>
      <c r="AE24" s="43">
        <f>IFERROR(AVERAGE(L24,R24,X24,AD24),"")</f>
        <v/>
      </c>
      <c r="AF24" s="51">
        <f>IFERROR((MAX(L24,R24,X24,AD24)-MIN(L24,R24,X24,AD24))/AE24*100,"")</f>
        <v/>
      </c>
      <c r="AG24" s="72">
        <f>IF(AF24="","",IF(AF24&lt;=2,"PASS","FAIL"))</f>
        <v/>
      </c>
    </row>
    <row r="28">
      <c r="A28" s="32" t="inlineStr">
        <is>
          <t>Ω (output factor) = (M_clin × kTP_clin / M_ref_corr) × k_{Q_clin,Q_msr}. For Farmer in clin field: k≈1.000 for Sclin≥3 cm (small effect). Max deviation = (max−min)/mean across all detectors.</t>
        </is>
      </c>
    </row>
  </sheetData>
  <mergeCells count="15">
    <mergeCell ref="M5:P5"/>
    <mergeCell ref="R17:U17"/>
    <mergeCell ref="R5:U5"/>
    <mergeCell ref="W5:Z5"/>
    <mergeCell ref="D5:F5"/>
    <mergeCell ref="A2:AH2"/>
    <mergeCell ref="A16:AH16"/>
    <mergeCell ref="H17:K17"/>
    <mergeCell ref="M17:P17"/>
    <mergeCell ref="W17:Z17"/>
    <mergeCell ref="D17:F17"/>
    <mergeCell ref="A1:AH1"/>
    <mergeCell ref="A28:J28"/>
    <mergeCell ref="H5:K5"/>
    <mergeCell ref="A4:AH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0" customWidth="1" min="11" max="11"/>
  </cols>
  <sheetData>
    <row r="1">
      <c r="A1" s="31" t="inlineStr">
        <is>
          <t>Output Factors — Method B  (Intermediate Field Chain,  1 cm ≤ Sclin &lt; 3 cm)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32" t="inlineStr">
        <is>
          <t>Chain: 10×10 (Farmer) → Intermediate field (Farmer+detectors) → Clinical field (detectors). Ω_total = Ω(10×10→IF) × Ω(IF→clin)  where Ω = (M_clin/M_ref)×k. Recommended IF size: 3×3 or 4×4 cm (ion chamber valid).</t>
        </is>
      </c>
    </row>
    <row r="4">
      <c r="A4" s="44" t="inlineStr">
        <is>
          <t>6 MV WFF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3" t="n"/>
    </row>
    <row r="5">
      <c r="A5" s="50" t="inlineStr">
        <is>
          <t>STEP 1 — Reference Field  10×10 cm  (Farmer)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3" t="n"/>
    </row>
    <row r="6">
      <c r="A6" s="4" t="inlineStr"/>
      <c r="B6" s="4" t="inlineStr">
        <is>
          <t>Rep 1</t>
        </is>
      </c>
      <c r="C6" s="4" t="inlineStr">
        <is>
          <t>Rep 2</t>
        </is>
      </c>
      <c r="D6" s="4" t="inlineStr">
        <is>
          <t>Rep 3</t>
        </is>
      </c>
      <c r="E6" s="4" t="inlineStr">
        <is>
          <t>Mean</t>
        </is>
      </c>
      <c r="F6" s="4" t="inlineStr">
        <is>
          <t>kTP</t>
        </is>
      </c>
      <c r="G6" s="4" t="inlineStr">
        <is>
          <t>Mcorr_ref</t>
        </is>
      </c>
    </row>
    <row r="7">
      <c r="A7" s="45" t="inlineStr">
        <is>
          <t>M_ref (Farmer, 10×10)  [nC or rel]</t>
        </is>
      </c>
      <c r="B7" s="58" t="n"/>
      <c r="C7" s="58" t="n"/>
      <c r="D7" s="58" t="n"/>
      <c r="E7" s="59">
        <f>AVERAGE(B7:D7)</f>
        <v/>
      </c>
      <c r="F7" s="35" t="n"/>
      <c r="G7" s="59">
        <f>E7*F7</f>
        <v/>
      </c>
    </row>
    <row r="9">
      <c r="A9" s="50" t="inlineStr">
        <is>
          <t>STEP 2 — Intermediate Field  (Farmer, ion chamber)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3" t="n"/>
    </row>
    <row r="10">
      <c r="A10" s="4" t="inlineStr">
        <is>
          <t>IF collimator setting [cm]</t>
        </is>
      </c>
      <c r="B10" s="38" t="n">
        <v>3</v>
      </c>
      <c r="D10" s="4" t="inlineStr">
        <is>
          <t>Sclin_IF (from FWHM sheet)</t>
        </is>
      </c>
      <c r="E10" s="36" t="n"/>
      <c r="G10" s="4" t="inlineStr">
        <is>
          <t>k_{IF,ref} (Farmer, from K_FACTORS)</t>
        </is>
      </c>
      <c r="H10" s="35" t="n"/>
    </row>
    <row r="11">
      <c r="A11" s="4" t="inlineStr"/>
      <c r="B11" s="4" t="inlineStr">
        <is>
          <t>Rep 1</t>
        </is>
      </c>
      <c r="C11" s="4" t="inlineStr">
        <is>
          <t>Rep 2</t>
        </is>
      </c>
      <c r="D11" s="4" t="inlineStr">
        <is>
          <t>Rep 3</t>
        </is>
      </c>
      <c r="E11" s="4" t="inlineStr">
        <is>
          <t>Mean</t>
        </is>
      </c>
      <c r="F11" s="4" t="inlineStr">
        <is>
          <t>kTP</t>
        </is>
      </c>
      <c r="G11" s="4" t="inlineStr">
        <is>
          <t>Mcorr_IF</t>
        </is>
      </c>
      <c r="H11" s="4" t="inlineStr">
        <is>
          <t>Ω(ref→IF) Farmer</t>
        </is>
      </c>
    </row>
    <row r="12">
      <c r="A12" s="45" t="inlineStr">
        <is>
          <t>M_IF (Farmer)  [nC or rel]</t>
        </is>
      </c>
      <c r="B12" s="58" t="n"/>
      <c r="C12" s="58" t="n"/>
      <c r="D12" s="58" t="n"/>
      <c r="E12" s="59">
        <f>AVERAGE(B12:D12)</f>
        <v/>
      </c>
      <c r="F12" s="35" t="n"/>
      <c r="G12" s="59">
        <f>E12*F12</f>
        <v/>
      </c>
      <c r="H12" s="43">
        <f>IF(G7&lt;&gt;0,G12/G7*H11,"")</f>
        <v/>
      </c>
    </row>
    <row r="14">
      <c r="A14" s="50" t="inlineStr">
        <is>
          <t>STEP 3 — Cross-calibration of Detectors at IF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3" t="n"/>
    </row>
    <row r="15">
      <c r="A15" s="4" t="inlineStr"/>
      <c r="B15" s="4" t="inlineStr">
        <is>
          <t>Rep 1</t>
        </is>
      </c>
      <c r="C15" s="4" t="inlineStr">
        <is>
          <t>Rep 2</t>
        </is>
      </c>
      <c r="D15" s="4" t="inlineStr">
        <is>
          <t>Rep 3</t>
        </is>
      </c>
      <c r="E15" s="4" t="inlineStr">
        <is>
          <t>Mean</t>
        </is>
      </c>
      <c r="F15" s="4" t="inlineStr">
        <is>
          <t>kTP</t>
        </is>
      </c>
      <c r="G15" s="4" t="inlineStr">
        <is>
          <t>Mcorr_IF_det</t>
        </is>
      </c>
      <c r="H15" s="4" t="inlineStr">
        <is>
          <t>k_{IF} (det)</t>
        </is>
      </c>
    </row>
    <row r="16">
      <c r="A16" s="57" t="inlineStr">
        <is>
          <t>M_IF  (A16)  [nC or rel]</t>
        </is>
      </c>
      <c r="B16" s="58" t="n"/>
      <c r="C16" s="58" t="n"/>
      <c r="D16" s="58" t="n"/>
      <c r="E16" s="59">
        <f>AVERAGE(B16:D16)</f>
        <v/>
      </c>
      <c r="F16" s="35" t="n"/>
      <c r="G16" s="59">
        <f>E16*F16</f>
        <v/>
      </c>
      <c r="H16" s="35" t="n"/>
    </row>
    <row r="17">
      <c r="A17" s="62" t="inlineStr">
        <is>
          <t>M_IF  (Edge)  [nC or rel]</t>
        </is>
      </c>
      <c r="B17" s="58" t="n"/>
      <c r="C17" s="58" t="n"/>
      <c r="D17" s="58" t="n"/>
      <c r="E17" s="59">
        <f>AVERAGE(B17:D17)</f>
        <v/>
      </c>
      <c r="F17" s="35" t="n"/>
      <c r="G17" s="59">
        <f>E17*F17</f>
        <v/>
      </c>
      <c r="H17" s="35" t="n"/>
    </row>
    <row r="18">
      <c r="A18" s="64" t="inlineStr">
        <is>
          <t>M_IF  (microDiamond)  [nC or rel]</t>
        </is>
      </c>
      <c r="B18" s="58" t="n"/>
      <c r="C18" s="58" t="n"/>
      <c r="D18" s="58" t="n"/>
      <c r="E18" s="59">
        <f>AVERAGE(B18:D18)</f>
        <v/>
      </c>
      <c r="F18" s="35" t="n"/>
      <c r="G18" s="59">
        <f>E18*F18</f>
        <v/>
      </c>
      <c r="H18" s="35" t="n"/>
    </row>
    <row r="19">
      <c r="A19" s="32" t="inlineStr">
        <is>
          <t>k_{IF}(det) = k_{Q_clin,Q_msr} for the IF field size — from K_FACTORS sheet.</t>
        </is>
      </c>
    </row>
    <row r="21">
      <c r="A21" s="50" t="inlineStr">
        <is>
          <t>STEP 4 — Clinical Field Measurements &amp; Chain Output Factors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3" t="n"/>
    </row>
    <row r="22">
      <c r="A22" s="71" t="inlineStr">
        <is>
          <t>Nom [cm]</t>
        </is>
      </c>
      <c r="B22" s="71" t="inlineStr">
        <is>
          <t>Sclin</t>
        </is>
      </c>
      <c r="C22" s="71" t="inlineStr">
        <is>
          <t>kTP</t>
        </is>
      </c>
      <c r="D22" s="74" t="inlineStr">
        <is>
          <t>A16 mean</t>
        </is>
      </c>
      <c r="E22" s="74" t="inlineStr">
        <is>
          <t>k_A16_clin</t>
        </is>
      </c>
      <c r="F22" s="74" t="inlineStr">
        <is>
          <t>Ω_A16</t>
        </is>
      </c>
      <c r="G22" s="75" t="inlineStr">
        <is>
          <t>Edge mean</t>
        </is>
      </c>
      <c r="H22" s="75" t="inlineStr">
        <is>
          <t>k_Edge_clin</t>
        </is>
      </c>
      <c r="I22" s="75" t="inlineStr">
        <is>
          <t>Ω_Edge</t>
        </is>
      </c>
      <c r="J22" s="76" t="inlineStr">
        <is>
          <t>uDiam mean</t>
        </is>
      </c>
      <c r="K22" s="76" t="inlineStr">
        <is>
          <t>k_uDm_clin</t>
        </is>
      </c>
      <c r="L22" s="76" t="inlineStr">
        <is>
          <t>Ω_uDm</t>
        </is>
      </c>
    </row>
    <row r="23" ht="18" customHeight="1">
      <c r="A23" s="38" t="n">
        <v>1</v>
      </c>
      <c r="B23" s="36" t="n"/>
      <c r="C23" s="35" t="n"/>
      <c r="D23" s="58" t="n"/>
      <c r="E23" s="35" t="n"/>
      <c r="F23" s="43">
        <f>IF(AND(H12&lt;&gt;"",G16&lt;&gt;0,D23&lt;&gt;0),H12*(D23*C23)/(G16)*E23,"")</f>
        <v/>
      </c>
      <c r="G23" s="58" t="n"/>
      <c r="H23" s="35" t="n"/>
      <c r="I23" s="43">
        <f>IF(AND(H12&lt;&gt;"",G17&lt;&gt;0,D23&lt;&gt;0),H12*(G23*C23)/(G17)*H23,"")</f>
        <v/>
      </c>
      <c r="J23" s="58" t="n"/>
      <c r="K23" s="35" t="n"/>
      <c r="L23" s="43">
        <f>IF(AND(H12&lt;&gt;"",G18&lt;&gt;0,D23&lt;&gt;0),H12*(J23*C23)/(G18)*K23,"")</f>
        <v/>
      </c>
    </row>
    <row r="24" ht="18" customHeight="1">
      <c r="A24" s="38" t="n">
        <v>1.2</v>
      </c>
      <c r="B24" s="36" t="n"/>
      <c r="C24" s="35" t="n"/>
      <c r="D24" s="58" t="n"/>
      <c r="E24" s="35" t="n"/>
      <c r="F24" s="43">
        <f>IF(AND(H12&lt;&gt;"",G16&lt;&gt;0,D24&lt;&gt;0),H12*(D24*C24)/(G16)*E24,"")</f>
        <v/>
      </c>
      <c r="G24" s="58" t="n"/>
      <c r="H24" s="35" t="n"/>
      <c r="I24" s="43">
        <f>IF(AND(H12&lt;&gt;"",G17&lt;&gt;0,D24&lt;&gt;0),H12*(G24*C24)/(G17)*H24,"")</f>
        <v/>
      </c>
      <c r="J24" s="58" t="n"/>
      <c r="K24" s="35" t="n"/>
      <c r="L24" s="43">
        <f>IF(AND(H12&lt;&gt;"",G18&lt;&gt;0,D24&lt;&gt;0),H12*(J24*C24)/(G18)*K24,"")</f>
        <v/>
      </c>
    </row>
    <row r="25" ht="18" customHeight="1">
      <c r="A25" s="38" t="n">
        <v>1.5</v>
      </c>
      <c r="B25" s="36" t="n"/>
      <c r="C25" s="35" t="n"/>
      <c r="D25" s="58" t="n"/>
      <c r="E25" s="35" t="n"/>
      <c r="F25" s="43">
        <f>IF(AND(H12&lt;&gt;"",G16&lt;&gt;0,D25&lt;&gt;0),H12*(D25*C25)/(G16)*E25,"")</f>
        <v/>
      </c>
      <c r="G25" s="58" t="n"/>
      <c r="H25" s="35" t="n"/>
      <c r="I25" s="43">
        <f>IF(AND(H12&lt;&gt;"",G17&lt;&gt;0,D25&lt;&gt;0),H12*(G25*C25)/(G17)*H25,"")</f>
        <v/>
      </c>
      <c r="J25" s="58" t="n"/>
      <c r="K25" s="35" t="n"/>
      <c r="L25" s="43">
        <f>IF(AND(H12&lt;&gt;"",G18&lt;&gt;0,D25&lt;&gt;0),H12*(J25*C25)/(G18)*K25,"")</f>
        <v/>
      </c>
    </row>
    <row r="26" ht="18" customHeight="1">
      <c r="A26" s="38" t="n">
        <v>2</v>
      </c>
      <c r="B26" s="36" t="n"/>
      <c r="C26" s="35" t="n"/>
      <c r="D26" s="58" t="n"/>
      <c r="E26" s="35" t="n"/>
      <c r="F26" s="43">
        <f>IF(AND(H12&lt;&gt;"",G16&lt;&gt;0,D26&lt;&gt;0),H12*(D26*C26)/(G16)*E26,"")</f>
        <v/>
      </c>
      <c r="G26" s="58" t="n"/>
      <c r="H26" s="35" t="n"/>
      <c r="I26" s="43">
        <f>IF(AND(H12&lt;&gt;"",G17&lt;&gt;0,D26&lt;&gt;0),H12*(G26*C26)/(G17)*H26,"")</f>
        <v/>
      </c>
      <c r="J26" s="58" t="n"/>
      <c r="K26" s="35" t="n"/>
      <c r="L26" s="43">
        <f>IF(AND(H12&lt;&gt;"",G18&lt;&gt;0,D26&lt;&gt;0),H12*(J26*C26)/(G18)*K26,"")</f>
        <v/>
      </c>
    </row>
    <row r="27" ht="18" customHeight="1">
      <c r="A27" s="38" t="n">
        <v>2.5</v>
      </c>
      <c r="B27" s="36" t="n"/>
      <c r="C27" s="35" t="n"/>
      <c r="D27" s="58" t="n"/>
      <c r="E27" s="35" t="n"/>
      <c r="F27" s="43">
        <f>IF(AND(H12&lt;&gt;"",G16&lt;&gt;0,D27&lt;&gt;0),H12*(D27*C27)/(G16)*E27,"")</f>
        <v/>
      </c>
      <c r="G27" s="58" t="n"/>
      <c r="H27" s="35" t="n"/>
      <c r="I27" s="43">
        <f>IF(AND(H12&lt;&gt;"",G17&lt;&gt;0,D27&lt;&gt;0),H12*(G27*C27)/(G17)*H27,"")</f>
        <v/>
      </c>
      <c r="J27" s="58" t="n"/>
      <c r="K27" s="35" t="n"/>
      <c r="L27" s="43">
        <f>IF(AND(H12&lt;&gt;"",G18&lt;&gt;0,D27&lt;&gt;0),H12*(J27*C27)/(G18)*K27,"")</f>
        <v/>
      </c>
    </row>
    <row r="28">
      <c r="A28" s="32" t="inlineStr">
        <is>
          <t>Ω_total = Ω(10×10→IF)_Farmer × (M_clin×kTP_clin)/(M_IF_det×kTP_IF) × k_clin. Positioning tolerance: ±0.5 mm for 1–3 cm fields. Compare results from all 3 detectors; accept if within 2%.</t>
        </is>
      </c>
    </row>
    <row r="31">
      <c r="A31" s="44" t="inlineStr">
        <is>
          <t>10 MV WFF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3" t="n"/>
    </row>
    <row r="32">
      <c r="A32" s="54" t="inlineStr">
        <is>
          <t>STEP 1 — Reference Field  10×10 cm  (Farmer)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3" t="n"/>
    </row>
    <row r="33">
      <c r="A33" s="4" t="inlineStr"/>
      <c r="B33" s="4" t="inlineStr">
        <is>
          <t>Rep 1</t>
        </is>
      </c>
      <c r="C33" s="4" t="inlineStr">
        <is>
          <t>Rep 2</t>
        </is>
      </c>
      <c r="D33" s="4" t="inlineStr">
        <is>
          <t>Rep 3</t>
        </is>
      </c>
      <c r="E33" s="4" t="inlineStr">
        <is>
          <t>Mean</t>
        </is>
      </c>
      <c r="F33" s="4" t="inlineStr">
        <is>
          <t>kTP</t>
        </is>
      </c>
      <c r="G33" s="4" t="inlineStr">
        <is>
          <t>Mcorr_ref</t>
        </is>
      </c>
    </row>
    <row r="34">
      <c r="A34" s="49" t="inlineStr">
        <is>
          <t>M_ref (Farmer, 10×10)  [nC or rel]</t>
        </is>
      </c>
      <c r="B34" s="58" t="n"/>
      <c r="C34" s="58" t="n"/>
      <c r="D34" s="58" t="n"/>
      <c r="E34" s="59">
        <f>AVERAGE(B34:D34)</f>
        <v/>
      </c>
      <c r="F34" s="35" t="n"/>
      <c r="G34" s="59">
        <f>E34*F34</f>
        <v/>
      </c>
    </row>
    <row r="36">
      <c r="A36" s="54" t="inlineStr">
        <is>
          <t>STEP 2 — Intermediate Field  (Farmer, ion chamber)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3" t="n"/>
    </row>
    <row r="37">
      <c r="A37" s="4" t="inlineStr">
        <is>
          <t>IF collimator setting [cm]</t>
        </is>
      </c>
      <c r="B37" s="38" t="n">
        <v>3</v>
      </c>
      <c r="D37" s="4" t="inlineStr">
        <is>
          <t>Sclin_IF (from FWHM sheet)</t>
        </is>
      </c>
      <c r="E37" s="36" t="n"/>
      <c r="G37" s="4" t="inlineStr">
        <is>
          <t>k_{IF,ref} (Farmer, from K_FACTORS)</t>
        </is>
      </c>
      <c r="H37" s="35" t="n"/>
    </row>
    <row r="38">
      <c r="A38" s="4" t="inlineStr"/>
      <c r="B38" s="4" t="inlineStr">
        <is>
          <t>Rep 1</t>
        </is>
      </c>
      <c r="C38" s="4" t="inlineStr">
        <is>
          <t>Rep 2</t>
        </is>
      </c>
      <c r="D38" s="4" t="inlineStr">
        <is>
          <t>Rep 3</t>
        </is>
      </c>
      <c r="E38" s="4" t="inlineStr">
        <is>
          <t>Mean</t>
        </is>
      </c>
      <c r="F38" s="4" t="inlineStr">
        <is>
          <t>kTP</t>
        </is>
      </c>
      <c r="G38" s="4" t="inlineStr">
        <is>
          <t>Mcorr_IF</t>
        </is>
      </c>
      <c r="H38" s="4" t="inlineStr">
        <is>
          <t>Ω(ref→IF) Farmer</t>
        </is>
      </c>
    </row>
    <row r="39">
      <c r="A39" s="49" t="inlineStr">
        <is>
          <t>M_IF (Farmer)  [nC or rel]</t>
        </is>
      </c>
      <c r="B39" s="58" t="n"/>
      <c r="C39" s="58" t="n"/>
      <c r="D39" s="58" t="n"/>
      <c r="E39" s="59">
        <f>AVERAGE(B39:D39)</f>
        <v/>
      </c>
      <c r="F39" s="35" t="n"/>
      <c r="G39" s="59">
        <f>E39*F39</f>
        <v/>
      </c>
      <c r="H39" s="43">
        <f>IF(G34&lt;&gt;0,G39/G34*H38,"")</f>
        <v/>
      </c>
    </row>
    <row r="41">
      <c r="A41" s="54" t="inlineStr">
        <is>
          <t>STEP 3 — Cross-calibration of Detectors at IF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3" t="n"/>
    </row>
    <row r="42">
      <c r="A42" s="4" t="inlineStr"/>
      <c r="B42" s="4" t="inlineStr">
        <is>
          <t>Rep 1</t>
        </is>
      </c>
      <c r="C42" s="4" t="inlineStr">
        <is>
          <t>Rep 2</t>
        </is>
      </c>
      <c r="D42" s="4" t="inlineStr">
        <is>
          <t>Rep 3</t>
        </is>
      </c>
      <c r="E42" s="4" t="inlineStr">
        <is>
          <t>Mean</t>
        </is>
      </c>
      <c r="F42" s="4" t="inlineStr">
        <is>
          <t>kTP</t>
        </is>
      </c>
      <c r="G42" s="4" t="inlineStr">
        <is>
          <t>Mcorr_IF_det</t>
        </is>
      </c>
      <c r="H42" s="4" t="inlineStr">
        <is>
          <t>k_{IF} (det)</t>
        </is>
      </c>
    </row>
    <row r="43">
      <c r="A43" s="57" t="inlineStr">
        <is>
          <t>M_IF  (A16)  [nC or rel]</t>
        </is>
      </c>
      <c r="B43" s="58" t="n"/>
      <c r="C43" s="58" t="n"/>
      <c r="D43" s="58" t="n"/>
      <c r="E43" s="59">
        <f>AVERAGE(B43:D43)</f>
        <v/>
      </c>
      <c r="F43" s="35" t="n"/>
      <c r="G43" s="59">
        <f>E43*F43</f>
        <v/>
      </c>
      <c r="H43" s="35" t="n"/>
    </row>
    <row r="44">
      <c r="A44" s="62" t="inlineStr">
        <is>
          <t>M_IF  (Edge)  [nC or rel]</t>
        </is>
      </c>
      <c r="B44" s="58" t="n"/>
      <c r="C44" s="58" t="n"/>
      <c r="D44" s="58" t="n"/>
      <c r="E44" s="59">
        <f>AVERAGE(B44:D44)</f>
        <v/>
      </c>
      <c r="F44" s="35" t="n"/>
      <c r="G44" s="59">
        <f>E44*F44</f>
        <v/>
      </c>
      <c r="H44" s="35" t="n"/>
    </row>
    <row r="45">
      <c r="A45" s="64" t="inlineStr">
        <is>
          <t>M_IF  (microDiamond)  [nC or rel]</t>
        </is>
      </c>
      <c r="B45" s="58" t="n"/>
      <c r="C45" s="58" t="n"/>
      <c r="D45" s="58" t="n"/>
      <c r="E45" s="59">
        <f>AVERAGE(B45:D45)</f>
        <v/>
      </c>
      <c r="F45" s="35" t="n"/>
      <c r="G45" s="59">
        <f>E45*F45</f>
        <v/>
      </c>
      <c r="H45" s="35" t="n"/>
    </row>
    <row r="46">
      <c r="A46" s="32" t="inlineStr">
        <is>
          <t>k_{IF}(det) = k_{Q_clin,Q_msr} for the IF field size — from K_FACTORS sheet.</t>
        </is>
      </c>
    </row>
    <row r="48">
      <c r="A48" s="54" t="inlineStr">
        <is>
          <t>STEP 4 — Clinical Field Measurements &amp; Chain Output Factors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3" t="n"/>
    </row>
    <row r="49">
      <c r="A49" s="71" t="inlineStr">
        <is>
          <t>Nom [cm]</t>
        </is>
      </c>
      <c r="B49" s="71" t="inlineStr">
        <is>
          <t>Sclin</t>
        </is>
      </c>
      <c r="C49" s="71" t="inlineStr">
        <is>
          <t>kTP</t>
        </is>
      </c>
      <c r="D49" s="74" t="inlineStr">
        <is>
          <t>A16 mean</t>
        </is>
      </c>
      <c r="E49" s="74" t="inlineStr">
        <is>
          <t>k_A16_clin</t>
        </is>
      </c>
      <c r="F49" s="74" t="inlineStr">
        <is>
          <t>Ω_A16</t>
        </is>
      </c>
      <c r="G49" s="75" t="inlineStr">
        <is>
          <t>Edge mean</t>
        </is>
      </c>
      <c r="H49" s="75" t="inlineStr">
        <is>
          <t>k_Edge_clin</t>
        </is>
      </c>
      <c r="I49" s="75" t="inlineStr">
        <is>
          <t>Ω_Edge</t>
        </is>
      </c>
      <c r="J49" s="76" t="inlineStr">
        <is>
          <t>uDiam mean</t>
        </is>
      </c>
      <c r="K49" s="76" t="inlineStr">
        <is>
          <t>k_uDm_clin</t>
        </is>
      </c>
      <c r="L49" s="76" t="inlineStr">
        <is>
          <t>Ω_uDm</t>
        </is>
      </c>
    </row>
    <row r="50" ht="18" customHeight="1">
      <c r="A50" s="38" t="n">
        <v>1</v>
      </c>
      <c r="B50" s="36" t="n"/>
      <c r="C50" s="35" t="n"/>
      <c r="D50" s="58" t="n"/>
      <c r="E50" s="35" t="n"/>
      <c r="F50" s="43">
        <f>IF(AND(H39&lt;&gt;"",G43&lt;&gt;0,D50&lt;&gt;0),H39*(D50*C50)/(G43)*E50,"")</f>
        <v/>
      </c>
      <c r="G50" s="58" t="n"/>
      <c r="H50" s="35" t="n"/>
      <c r="I50" s="43">
        <f>IF(AND(H39&lt;&gt;"",G44&lt;&gt;0,D50&lt;&gt;0),H39*(G50*C50)/(G44)*H50,"")</f>
        <v/>
      </c>
      <c r="J50" s="58" t="n"/>
      <c r="K50" s="35" t="n"/>
      <c r="L50" s="43">
        <f>IF(AND(H39&lt;&gt;"",G45&lt;&gt;0,D50&lt;&gt;0),H39*(J50*C50)/(G45)*K50,"")</f>
        <v/>
      </c>
    </row>
    <row r="51" ht="18" customHeight="1">
      <c r="A51" s="38" t="n">
        <v>1.2</v>
      </c>
      <c r="B51" s="36" t="n"/>
      <c r="C51" s="35" t="n"/>
      <c r="D51" s="58" t="n"/>
      <c r="E51" s="35" t="n"/>
      <c r="F51" s="43">
        <f>IF(AND(H39&lt;&gt;"",G43&lt;&gt;0,D51&lt;&gt;0),H39*(D51*C51)/(G43)*E51,"")</f>
        <v/>
      </c>
      <c r="G51" s="58" t="n"/>
      <c r="H51" s="35" t="n"/>
      <c r="I51" s="43">
        <f>IF(AND(H39&lt;&gt;"",G44&lt;&gt;0,D51&lt;&gt;0),H39*(G51*C51)/(G44)*H51,"")</f>
        <v/>
      </c>
      <c r="J51" s="58" t="n"/>
      <c r="K51" s="35" t="n"/>
      <c r="L51" s="43">
        <f>IF(AND(H39&lt;&gt;"",G45&lt;&gt;0,D51&lt;&gt;0),H39*(J51*C51)/(G45)*K51,"")</f>
        <v/>
      </c>
    </row>
    <row r="52" ht="18" customHeight="1">
      <c r="A52" s="38" t="n">
        <v>1.5</v>
      </c>
      <c r="B52" s="36" t="n"/>
      <c r="C52" s="35" t="n"/>
      <c r="D52" s="58" t="n"/>
      <c r="E52" s="35" t="n"/>
      <c r="F52" s="43">
        <f>IF(AND(H39&lt;&gt;"",G43&lt;&gt;0,D52&lt;&gt;0),H39*(D52*C52)/(G43)*E52,"")</f>
        <v/>
      </c>
      <c r="G52" s="58" t="n"/>
      <c r="H52" s="35" t="n"/>
      <c r="I52" s="43">
        <f>IF(AND(H39&lt;&gt;"",G44&lt;&gt;0,D52&lt;&gt;0),H39*(G52*C52)/(G44)*H52,"")</f>
        <v/>
      </c>
      <c r="J52" s="58" t="n"/>
      <c r="K52" s="35" t="n"/>
      <c r="L52" s="43">
        <f>IF(AND(H39&lt;&gt;"",G45&lt;&gt;0,D52&lt;&gt;0),H39*(J52*C52)/(G45)*K52,"")</f>
        <v/>
      </c>
    </row>
    <row r="53" ht="18" customHeight="1">
      <c r="A53" s="38" t="n">
        <v>2</v>
      </c>
      <c r="B53" s="36" t="n"/>
      <c r="C53" s="35" t="n"/>
      <c r="D53" s="58" t="n"/>
      <c r="E53" s="35" t="n"/>
      <c r="F53" s="43">
        <f>IF(AND(H39&lt;&gt;"",G43&lt;&gt;0,D53&lt;&gt;0),H39*(D53*C53)/(G43)*E53,"")</f>
        <v/>
      </c>
      <c r="G53" s="58" t="n"/>
      <c r="H53" s="35" t="n"/>
      <c r="I53" s="43">
        <f>IF(AND(H39&lt;&gt;"",G44&lt;&gt;0,D53&lt;&gt;0),H39*(G53*C53)/(G44)*H53,"")</f>
        <v/>
      </c>
      <c r="J53" s="58" t="n"/>
      <c r="K53" s="35" t="n"/>
      <c r="L53" s="43">
        <f>IF(AND(H39&lt;&gt;"",G45&lt;&gt;0,D53&lt;&gt;0),H39*(J53*C53)/(G45)*K53,"")</f>
        <v/>
      </c>
    </row>
    <row r="54" ht="18" customHeight="1">
      <c r="A54" s="38" t="n">
        <v>2.5</v>
      </c>
      <c r="B54" s="36" t="n"/>
      <c r="C54" s="35" t="n"/>
      <c r="D54" s="58" t="n"/>
      <c r="E54" s="35" t="n"/>
      <c r="F54" s="43">
        <f>IF(AND(H39&lt;&gt;"",G43&lt;&gt;0,D54&lt;&gt;0),H39*(D54*C54)/(G43)*E54,"")</f>
        <v/>
      </c>
      <c r="G54" s="58" t="n"/>
      <c r="H54" s="35" t="n"/>
      <c r="I54" s="43">
        <f>IF(AND(H39&lt;&gt;"",G44&lt;&gt;0,D54&lt;&gt;0),H39*(G54*C54)/(G44)*H54,"")</f>
        <v/>
      </c>
      <c r="J54" s="58" t="n"/>
      <c r="K54" s="35" t="n"/>
      <c r="L54" s="43">
        <f>IF(AND(H39&lt;&gt;"",G45&lt;&gt;0,D54&lt;&gt;0),H39*(J54*C54)/(G45)*K54,"")</f>
        <v/>
      </c>
    </row>
    <row r="55">
      <c r="A55" s="32" t="inlineStr">
        <is>
          <t>Ω_total = Ω(10×10→IF)_Farmer × (M_clin×kTP_clin)/(M_IF_det×kTP_IF) × k_clin. Positioning tolerance: ±0.5 mm for 1–3 cm fields. Compare results from all 3 detectors; accept if within 2%.</t>
        </is>
      </c>
    </row>
  </sheetData>
  <mergeCells count="16">
    <mergeCell ref="A4:K4"/>
    <mergeCell ref="A48:K48"/>
    <mergeCell ref="A21:K21"/>
    <mergeCell ref="A55:K55"/>
    <mergeCell ref="A41:K41"/>
    <mergeCell ref="A2:K2"/>
    <mergeCell ref="A19:K19"/>
    <mergeCell ref="A28:K28"/>
    <mergeCell ref="A46:K46"/>
    <mergeCell ref="A5:K5"/>
    <mergeCell ref="A32:K32"/>
    <mergeCell ref="A14:K14"/>
    <mergeCell ref="A1:K1"/>
    <mergeCell ref="A36:K36"/>
    <mergeCell ref="A9:K9"/>
    <mergeCell ref="A31:K3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5" customWidth="1" min="13" max="13"/>
  </cols>
  <sheetData>
    <row r="1">
      <c r="A1" s="31" t="inlineStr">
        <is>
          <t>Output Factors — Method C  (Sclin &lt; 1 cm, Very Small Fields)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>
      <c r="A2" s="32" t="inlineStr">
        <is>
          <t>Mandatory: ≥ 2 detector types. Positioning tolerance: ±0.1 mm. Ω = (M_clin/M_IF_det × kTP) × k_clin, where M_IF_det is from Method B cross-calibration. A16 ion chamber is typically too large for fields &lt; 1 cm — use Edge + microDiamond. Uncertainty: ±4–6% (k=1) for fields &lt; 1 cm.</t>
        </is>
      </c>
    </row>
    <row r="4">
      <c r="A4" s="44" t="inlineStr">
        <is>
          <t>6 MV WFF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/>
    </row>
    <row r="5">
      <c r="A5" s="77" t="inlineStr">
        <is>
          <t>Method C uses the same cross-calibration from Method B (Step 3). Ensure Method B is complete first and reference the M_IF values from that sheet.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3" t="n"/>
    </row>
    <row r="7">
      <c r="A7" s="78" t="inlineStr">
        <is>
          <t>Nom
[cm]</t>
        </is>
      </c>
      <c r="B7" s="78" t="inlineStr">
        <is>
          <t>Sclin
[cm]</t>
        </is>
      </c>
      <c r="C7" s="78" t="inlineStr">
        <is>
          <t>kTP</t>
        </is>
      </c>
      <c r="D7" s="79" t="inlineStr">
        <is>
          <t>Edge
M1</t>
        </is>
      </c>
      <c r="E7" s="79" t="inlineStr">
        <is>
          <t>Edge
M2</t>
        </is>
      </c>
      <c r="F7" s="79" t="inlineStr">
        <is>
          <t>Edge
M3</t>
        </is>
      </c>
      <c r="G7" s="79" t="inlineStr">
        <is>
          <t>Edge
Mmean</t>
        </is>
      </c>
      <c r="H7" s="79" t="inlineStr">
        <is>
          <t>k_Edge_clin</t>
        </is>
      </c>
      <c r="I7" s="79" t="inlineStr">
        <is>
          <t>Ω_Edge</t>
        </is>
      </c>
      <c r="J7" s="80" t="inlineStr">
        <is>
          <t>uDiam
M1</t>
        </is>
      </c>
      <c r="K7" s="80" t="inlineStr">
        <is>
          <t>uDiam
M2</t>
        </is>
      </c>
      <c r="L7" s="80" t="inlineStr">
        <is>
          <t>uDiam
M3</t>
        </is>
      </c>
      <c r="M7" s="80" t="inlineStr">
        <is>
          <t>uDiam
Mmean</t>
        </is>
      </c>
    </row>
    <row r="8">
      <c r="J8" s="76" t="inlineStr">
        <is>
          <t>k_uDm_clin</t>
        </is>
      </c>
      <c r="K8" s="76" t="inlineStr">
        <is>
          <t>Ω_uDm</t>
        </is>
      </c>
      <c r="L8" s="81" t="inlineStr">
        <is>
          <t>Ω_mean</t>
        </is>
      </c>
      <c r="M8" s="81" t="inlineStr">
        <is>
          <t>Dev [%]</t>
        </is>
      </c>
    </row>
    <row r="9" ht="18" customHeight="1">
      <c r="A9" s="38" t="n">
        <v>0.5</v>
      </c>
      <c r="B9" s="36" t="n"/>
      <c r="C9" s="35" t="n"/>
      <c r="D9" s="58" t="n"/>
      <c r="E9" s="58" t="n"/>
      <c r="F9" s="58" t="n"/>
      <c r="G9" s="59">
        <f>AVERAGE(D9:F9)</f>
        <v/>
      </c>
      <c r="H9" s="35" t="n"/>
      <c r="I9" s="43">
        <f>IF(AND(G9&lt;&gt;0,H9&lt;&gt;0),G9*C9*H9,"")</f>
        <v/>
      </c>
      <c r="J9" s="58" t="n"/>
      <c r="K9" s="58" t="n"/>
      <c r="L9" s="58" t="n"/>
      <c r="M9" s="59">
        <f>AVERAGE(J9:L9)</f>
        <v/>
      </c>
      <c r="N9" s="35" t="n"/>
      <c r="O9" s="43">
        <f>IF(AND(M9&lt;&gt;0,N9&lt;&gt;0),M9*C9*N9,"")</f>
        <v/>
      </c>
      <c r="P9" s="43">
        <f>IFERROR(AVERAGE(I9,O9),"")</f>
        <v/>
      </c>
      <c r="Q9" s="51">
        <f>IFERROR(IF(P9&lt;&gt;0,(MAX(I9,O9)-MIN(I9,O9))/P9*100,""),"")</f>
        <v/>
      </c>
    </row>
    <row r="10" ht="18" customHeight="1">
      <c r="A10" s="38" t="n">
        <v>0.6</v>
      </c>
      <c r="B10" s="36" t="n"/>
      <c r="C10" s="35" t="n"/>
      <c r="D10" s="58" t="n"/>
      <c r="E10" s="58" t="n"/>
      <c r="F10" s="58" t="n"/>
      <c r="G10" s="59">
        <f>AVERAGE(D10:F10)</f>
        <v/>
      </c>
      <c r="H10" s="35" t="n"/>
      <c r="I10" s="43">
        <f>IF(AND(G10&lt;&gt;0,H10&lt;&gt;0),G10*C10*H10,"")</f>
        <v/>
      </c>
      <c r="J10" s="58" t="n"/>
      <c r="K10" s="58" t="n"/>
      <c r="L10" s="58" t="n"/>
      <c r="M10" s="59">
        <f>AVERAGE(J10:L10)</f>
        <v/>
      </c>
      <c r="N10" s="35" t="n"/>
      <c r="O10" s="43">
        <f>IF(AND(M10&lt;&gt;0,N10&lt;&gt;0),M10*C10*N10,"")</f>
        <v/>
      </c>
      <c r="P10" s="43">
        <f>IFERROR(AVERAGE(I10,O10),"")</f>
        <v/>
      </c>
      <c r="Q10" s="51">
        <f>IFERROR(IF(P10&lt;&gt;0,(MAX(I10,O10)-MIN(I10,O10))/P10*100,""),"")</f>
        <v/>
      </c>
    </row>
    <row r="11" ht="18" customHeight="1">
      <c r="A11" s="38" t="n">
        <v>0.8</v>
      </c>
      <c r="B11" s="36" t="n"/>
      <c r="C11" s="35" t="n"/>
      <c r="D11" s="58" t="n"/>
      <c r="E11" s="58" t="n"/>
      <c r="F11" s="58" t="n"/>
      <c r="G11" s="59">
        <f>AVERAGE(D11:F11)</f>
        <v/>
      </c>
      <c r="H11" s="35" t="n"/>
      <c r="I11" s="43">
        <f>IF(AND(G11&lt;&gt;0,H11&lt;&gt;0),G11*C11*H11,"")</f>
        <v/>
      </c>
      <c r="J11" s="58" t="n"/>
      <c r="K11" s="58" t="n"/>
      <c r="L11" s="58" t="n"/>
      <c r="M11" s="59">
        <f>AVERAGE(J11:L11)</f>
        <v/>
      </c>
      <c r="N11" s="35" t="n"/>
      <c r="O11" s="43">
        <f>IF(AND(M11&lt;&gt;0,N11&lt;&gt;0),M11*C11*N11,"")</f>
        <v/>
      </c>
      <c r="P11" s="43">
        <f>IFERROR(AVERAGE(I11,O11),"")</f>
        <v/>
      </c>
      <c r="Q11" s="51">
        <f>IFERROR(IF(P11&lt;&gt;0,(MAX(I11,O11)-MIN(I11,O11))/P11*100,""),"")</f>
        <v/>
      </c>
    </row>
    <row r="12">
      <c r="A12" s="32" t="inlineStr">
        <is>
          <t>⚠  Ω values here are RELATIVE — they require normalisation to M_IF from OF_METHOD_B for absolute output factors. For fields &lt; 0.5 cm: uncertainty ±5–7%; considered research-level dosimetry. Acceptance criterion for 2-detector agreement: ≤ 3% for fields &lt; 1 cm.</t>
        </is>
      </c>
    </row>
    <row r="15">
      <c r="A15" s="44" t="inlineStr">
        <is>
          <t>10 MV WFF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3" t="n"/>
    </row>
    <row r="16">
      <c r="A16" s="77" t="inlineStr">
        <is>
          <t>Method C uses the same cross-calibration from Method B (Step 3). Ensure Method B is complete first and reference the M_IF values from that sheet.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3" t="n"/>
    </row>
    <row r="18">
      <c r="A18" s="78" t="inlineStr">
        <is>
          <t>Nom
[cm]</t>
        </is>
      </c>
      <c r="B18" s="78" t="inlineStr">
        <is>
          <t>Sclin
[cm]</t>
        </is>
      </c>
      <c r="C18" s="78" t="inlineStr">
        <is>
          <t>kTP</t>
        </is>
      </c>
      <c r="D18" s="79" t="inlineStr">
        <is>
          <t>Edge
M1</t>
        </is>
      </c>
      <c r="E18" s="79" t="inlineStr">
        <is>
          <t>Edge
M2</t>
        </is>
      </c>
      <c r="F18" s="79" t="inlineStr">
        <is>
          <t>Edge
M3</t>
        </is>
      </c>
      <c r="G18" s="79" t="inlineStr">
        <is>
          <t>Edge
Mmean</t>
        </is>
      </c>
      <c r="H18" s="79" t="inlineStr">
        <is>
          <t>k_Edge_clin</t>
        </is>
      </c>
      <c r="I18" s="79" t="inlineStr">
        <is>
          <t>Ω_Edge</t>
        </is>
      </c>
      <c r="J18" s="80" t="inlineStr">
        <is>
          <t>uDiam
M1</t>
        </is>
      </c>
      <c r="K18" s="80" t="inlineStr">
        <is>
          <t>uDiam
M2</t>
        </is>
      </c>
      <c r="L18" s="80" t="inlineStr">
        <is>
          <t>uDiam
M3</t>
        </is>
      </c>
      <c r="M18" s="80" t="inlineStr">
        <is>
          <t>uDiam
Mmean</t>
        </is>
      </c>
    </row>
    <row r="19">
      <c r="J19" s="76" t="inlineStr">
        <is>
          <t>k_uDm_clin</t>
        </is>
      </c>
      <c r="K19" s="76" t="inlineStr">
        <is>
          <t>Ω_uDm</t>
        </is>
      </c>
      <c r="L19" s="81" t="inlineStr">
        <is>
          <t>Ω_mean</t>
        </is>
      </c>
      <c r="M19" s="81" t="inlineStr">
        <is>
          <t>Dev [%]</t>
        </is>
      </c>
    </row>
    <row r="20" ht="18" customHeight="1">
      <c r="A20" s="38" t="n">
        <v>0.5</v>
      </c>
      <c r="B20" s="36" t="n"/>
      <c r="C20" s="35" t="n"/>
      <c r="D20" s="58" t="n"/>
      <c r="E20" s="58" t="n"/>
      <c r="F20" s="58" t="n"/>
      <c r="G20" s="59">
        <f>AVERAGE(D20:F20)</f>
        <v/>
      </c>
      <c r="H20" s="35" t="n"/>
      <c r="I20" s="43">
        <f>IF(AND(G20&lt;&gt;0,H20&lt;&gt;0),G20*C20*H20,"")</f>
        <v/>
      </c>
      <c r="J20" s="58" t="n"/>
      <c r="K20" s="58" t="n"/>
      <c r="L20" s="58" t="n"/>
      <c r="M20" s="59">
        <f>AVERAGE(J20:L20)</f>
        <v/>
      </c>
      <c r="N20" s="35" t="n"/>
      <c r="O20" s="43">
        <f>IF(AND(M20&lt;&gt;0,N20&lt;&gt;0),M20*C20*N20,"")</f>
        <v/>
      </c>
      <c r="P20" s="43">
        <f>IFERROR(AVERAGE(I20,O20),"")</f>
        <v/>
      </c>
      <c r="Q20" s="51">
        <f>IFERROR(IF(P20&lt;&gt;0,(MAX(I20,O20)-MIN(I20,O20))/P20*100,""),"")</f>
        <v/>
      </c>
    </row>
    <row r="21" ht="18" customHeight="1">
      <c r="A21" s="38" t="n">
        <v>0.6</v>
      </c>
      <c r="B21" s="36" t="n"/>
      <c r="C21" s="35" t="n"/>
      <c r="D21" s="58" t="n"/>
      <c r="E21" s="58" t="n"/>
      <c r="F21" s="58" t="n"/>
      <c r="G21" s="59">
        <f>AVERAGE(D21:F21)</f>
        <v/>
      </c>
      <c r="H21" s="35" t="n"/>
      <c r="I21" s="43">
        <f>IF(AND(G21&lt;&gt;0,H21&lt;&gt;0),G21*C21*H21,"")</f>
        <v/>
      </c>
      <c r="J21" s="58" t="n"/>
      <c r="K21" s="58" t="n"/>
      <c r="L21" s="58" t="n"/>
      <c r="M21" s="59">
        <f>AVERAGE(J21:L21)</f>
        <v/>
      </c>
      <c r="N21" s="35" t="n"/>
      <c r="O21" s="43">
        <f>IF(AND(M21&lt;&gt;0,N21&lt;&gt;0),M21*C21*N21,"")</f>
        <v/>
      </c>
      <c r="P21" s="43">
        <f>IFERROR(AVERAGE(I21,O21),"")</f>
        <v/>
      </c>
      <c r="Q21" s="51">
        <f>IFERROR(IF(P21&lt;&gt;0,(MAX(I21,O21)-MIN(I21,O21))/P21*100,""),"")</f>
        <v/>
      </c>
    </row>
    <row r="22" ht="18" customHeight="1">
      <c r="A22" s="38" t="n">
        <v>0.8</v>
      </c>
      <c r="B22" s="36" t="n"/>
      <c r="C22" s="35" t="n"/>
      <c r="D22" s="58" t="n"/>
      <c r="E22" s="58" t="n"/>
      <c r="F22" s="58" t="n"/>
      <c r="G22" s="59">
        <f>AVERAGE(D22:F22)</f>
        <v/>
      </c>
      <c r="H22" s="35" t="n"/>
      <c r="I22" s="43">
        <f>IF(AND(G22&lt;&gt;0,H22&lt;&gt;0),G22*C22*H22,"")</f>
        <v/>
      </c>
      <c r="J22" s="58" t="n"/>
      <c r="K22" s="58" t="n"/>
      <c r="L22" s="58" t="n"/>
      <c r="M22" s="59">
        <f>AVERAGE(J22:L22)</f>
        <v/>
      </c>
      <c r="N22" s="35" t="n"/>
      <c r="O22" s="43">
        <f>IF(AND(M22&lt;&gt;0,N22&lt;&gt;0),M22*C22*N22,"")</f>
        <v/>
      </c>
      <c r="P22" s="43">
        <f>IFERROR(AVERAGE(I22,O22),"")</f>
        <v/>
      </c>
      <c r="Q22" s="51">
        <f>IFERROR(IF(P22&lt;&gt;0,(MAX(I22,O22)-MIN(I22,O22))/P22*100,""),"")</f>
        <v/>
      </c>
    </row>
    <row r="23">
      <c r="A23" s="32" t="inlineStr">
        <is>
          <t>⚠  Ω values here are RELATIVE — they require normalisation to M_IF from OF_METHOD_B for absolute output factors. For fields &lt; 0.5 cm: uncertainty ±5–7%; considered research-level dosimetry. Acceptance criterion for 2-detector agreement: ≤ 3% for fields &lt; 1 cm.</t>
        </is>
      </c>
    </row>
  </sheetData>
  <mergeCells count="8">
    <mergeCell ref="A1:M1"/>
    <mergeCell ref="A5:M5"/>
    <mergeCell ref="A23:M23"/>
    <mergeCell ref="A12:M12"/>
    <mergeCell ref="A4:M4"/>
    <mergeCell ref="A15:M15"/>
    <mergeCell ref="A16:M16"/>
    <mergeCell ref="A2:M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31" t="inlineStr">
        <is>
          <t>k_{Q_clin,Q_msr} Correction Factors — TRS-483 Tables 24 &amp; 27</t>
        </is>
      </c>
      <c r="B1" s="2" t="n"/>
      <c r="C1" s="2" t="n"/>
      <c r="D1" s="2" t="n"/>
      <c r="E1" s="2" t="n"/>
      <c r="F1" s="2" t="n"/>
      <c r="G1" s="3" t="n"/>
    </row>
    <row r="2">
      <c r="A2" s="32" t="inlineStr">
        <is>
          <t>Transcribe k values from TRS-483 Appendix II. Table 24 = 6 MV WFF. Table 27 = 10 MV WFF. Interpolate linearly in Sclin for unlisted field sizes. k = 1.000 at the msr field (10×10 cm) by definition.</t>
        </is>
      </c>
    </row>
    <row r="3">
      <c r="A3" s="32" t="inlineStr">
        <is>
          <t>DETECTOR SOURCES: PTW 60019 → TRS-483 Table 24/27. Edge (Sun Nuclear) → check TRS-483 App. II or TG-155 literature. A16 → use nearest small IC type in TRS-483 or manufacturer data.</t>
        </is>
      </c>
    </row>
    <row r="5">
      <c r="A5" s="44" t="inlineStr">
        <is>
          <t>6 MV WFF  (TRS-483 Table 24)</t>
        </is>
      </c>
      <c r="B5" s="2" t="n"/>
      <c r="C5" s="2" t="n"/>
      <c r="D5" s="2" t="n"/>
      <c r="E5" s="2" t="n"/>
      <c r="F5" s="2" t="n"/>
      <c r="G5" s="3" t="n"/>
    </row>
    <row r="6">
      <c r="A6" s="4" t="inlineStr">
        <is>
          <t>Sclin [cm]</t>
        </is>
      </c>
      <c r="B6" s="4" t="inlineStr">
        <is>
          <t>A16  (k)</t>
        </is>
      </c>
      <c r="C6" s="4" t="inlineStr">
        <is>
          <t>Edge  (k)</t>
        </is>
      </c>
      <c r="D6" s="4" t="inlineStr">
        <is>
          <t>microDiamond (k)</t>
        </is>
      </c>
      <c r="E6" s="4" t="inlineStr">
        <is>
          <t>Farmer (for IF)</t>
        </is>
      </c>
      <c r="F6" s="4" t="inlineStr">
        <is>
          <t>Source / Notes</t>
        </is>
      </c>
      <c r="G6" s="3" t="n"/>
    </row>
    <row r="7">
      <c r="A7" s="82" t="inlineStr">
        <is>
          <t>0.5</t>
        </is>
      </c>
      <c r="B7" s="35" t="n"/>
      <c r="C7" s="35" t="n"/>
      <c r="D7" s="35" t="n"/>
      <c r="E7" s="35" t="n"/>
      <c r="F7" s="32" t="inlineStr">
        <is>
          <t>→ Table 24</t>
        </is>
      </c>
    </row>
    <row r="8">
      <c r="A8" s="82" t="inlineStr">
        <is>
          <t>0.6</t>
        </is>
      </c>
      <c r="B8" s="35" t="n"/>
      <c r="C8" s="35" t="n"/>
      <c r="D8" s="35" t="n"/>
      <c r="E8" s="35" t="n"/>
      <c r="F8" s="32" t="inlineStr">
        <is>
          <t>→ Table 24</t>
        </is>
      </c>
    </row>
    <row r="9">
      <c r="A9" s="82" t="inlineStr">
        <is>
          <t>0.8</t>
        </is>
      </c>
      <c r="B9" s="35" t="n"/>
      <c r="C9" s="35" t="n"/>
      <c r="D9" s="35" t="n"/>
      <c r="E9" s="35" t="n"/>
      <c r="F9" s="32" t="inlineStr">
        <is>
          <t>→ Table 24</t>
        </is>
      </c>
    </row>
    <row r="10">
      <c r="A10" s="82" t="inlineStr">
        <is>
          <t>1.0</t>
        </is>
      </c>
      <c r="B10" s="35" t="n"/>
      <c r="C10" s="35" t="n"/>
      <c r="D10" s="35" t="n"/>
      <c r="E10" s="35" t="n"/>
      <c r="F10" s="32" t="inlineStr">
        <is>
          <t>→ Table 24</t>
        </is>
      </c>
    </row>
    <row r="11">
      <c r="A11" s="82" t="inlineStr">
        <is>
          <t>1.2</t>
        </is>
      </c>
      <c r="B11" s="35" t="n"/>
      <c r="C11" s="35" t="n"/>
      <c r="D11" s="35" t="n"/>
      <c r="E11" s="35" t="n"/>
      <c r="F11" s="32" t="inlineStr">
        <is>
          <t>→ Table 24</t>
        </is>
      </c>
    </row>
    <row r="12">
      <c r="A12" s="82" t="inlineStr">
        <is>
          <t>1.5</t>
        </is>
      </c>
      <c r="B12" s="35" t="n"/>
      <c r="C12" s="35" t="n"/>
      <c r="D12" s="35" t="n"/>
      <c r="E12" s="35" t="n"/>
      <c r="F12" s="32" t="inlineStr">
        <is>
          <t>→ Table 24</t>
        </is>
      </c>
    </row>
    <row r="13">
      <c r="A13" s="82" t="inlineStr">
        <is>
          <t>2.0</t>
        </is>
      </c>
      <c r="B13" s="35" t="n"/>
      <c r="C13" s="35" t="n"/>
      <c r="D13" s="35" t="n"/>
      <c r="E13" s="35" t="n"/>
      <c r="F13" s="32" t="inlineStr">
        <is>
          <t>→ Table 24</t>
        </is>
      </c>
    </row>
    <row r="14">
      <c r="A14" s="82" t="inlineStr">
        <is>
          <t>2.5</t>
        </is>
      </c>
      <c r="B14" s="35" t="n"/>
      <c r="C14" s="35" t="n"/>
      <c r="D14" s="35" t="n"/>
      <c r="E14" s="35" t="n"/>
      <c r="F14" s="32" t="inlineStr">
        <is>
          <t>→ Table 24</t>
        </is>
      </c>
    </row>
    <row r="15">
      <c r="A15" s="82" t="inlineStr">
        <is>
          <t>3.0</t>
        </is>
      </c>
      <c r="B15" s="35" t="n"/>
      <c r="C15" s="35" t="n"/>
      <c r="D15" s="35" t="n"/>
      <c r="E15" s="35" t="n"/>
      <c r="F15" s="32" t="inlineStr">
        <is>
          <t>→ Table 24</t>
        </is>
      </c>
    </row>
    <row r="16">
      <c r="A16" s="82" t="inlineStr">
        <is>
          <t>4.0</t>
        </is>
      </c>
      <c r="B16" s="35" t="n"/>
      <c r="C16" s="35" t="n"/>
      <c r="D16" s="35" t="n"/>
      <c r="E16" s="35" t="n"/>
      <c r="F16" s="32" t="inlineStr">
        <is>
          <t>→ Table 24</t>
        </is>
      </c>
    </row>
    <row r="17">
      <c r="A17" s="82" t="inlineStr">
        <is>
          <t>5.0</t>
        </is>
      </c>
      <c r="B17" s="35" t="n"/>
      <c r="C17" s="35" t="n"/>
      <c r="D17" s="35" t="n"/>
      <c r="E17" s="35" t="n"/>
      <c r="F17" s="32" t="inlineStr">
        <is>
          <t>→ Table 24</t>
        </is>
      </c>
    </row>
    <row r="18">
      <c r="A18" s="82" t="inlineStr">
        <is>
          <t>6.0</t>
        </is>
      </c>
      <c r="B18" s="35" t="n"/>
      <c r="C18" s="35" t="n"/>
      <c r="D18" s="35" t="n"/>
      <c r="E18" s="35" t="n"/>
      <c r="F18" s="32" t="inlineStr">
        <is>
          <t>→ Table 24</t>
        </is>
      </c>
    </row>
    <row r="19">
      <c r="A19" s="82" t="inlineStr">
        <is>
          <t>8.0</t>
        </is>
      </c>
      <c r="B19" s="35" t="n"/>
      <c r="C19" s="35" t="n"/>
      <c r="D19" s="35" t="n"/>
      <c r="E19" s="35" t="n"/>
      <c r="F19" s="32" t="inlineStr">
        <is>
          <t>→ Table 24</t>
        </is>
      </c>
    </row>
    <row r="20">
      <c r="A20" s="82" t="inlineStr">
        <is>
          <t>10.0</t>
        </is>
      </c>
      <c r="B20" s="43" t="n">
        <v>1</v>
      </c>
      <c r="C20" s="43" t="n">
        <v>1</v>
      </c>
      <c r="D20" s="43" t="n">
        <v>1</v>
      </c>
      <c r="E20" s="43" t="n">
        <v>1</v>
      </c>
      <c r="F20" s="32" t="inlineStr">
        <is>
          <t>k = 1.0000 by definition at msr field (10×10 cm).</t>
        </is>
      </c>
    </row>
    <row r="21">
      <c r="A21" s="32" t="inlineStr">
        <is>
          <t>For sizes not in TRS-483: interpolate linearly. Do NOT extrapolate below smallest tabulated size.</t>
        </is>
      </c>
    </row>
    <row r="25">
      <c r="A25" s="44" t="inlineStr">
        <is>
          <t>10 MV WFF  (TRS-483 Table 27)</t>
        </is>
      </c>
      <c r="B25" s="2" t="n"/>
      <c r="C25" s="2" t="n"/>
      <c r="D25" s="2" t="n"/>
      <c r="E25" s="2" t="n"/>
      <c r="F25" s="2" t="n"/>
      <c r="G25" s="3" t="n"/>
    </row>
    <row r="26">
      <c r="A26" s="4" t="inlineStr">
        <is>
          <t>Sclin [cm]</t>
        </is>
      </c>
      <c r="B26" s="4" t="inlineStr">
        <is>
          <t>A16  (k)</t>
        </is>
      </c>
      <c r="C26" s="4" t="inlineStr">
        <is>
          <t>Edge  (k)</t>
        </is>
      </c>
      <c r="D26" s="4" t="inlineStr">
        <is>
          <t>microDiamond (k)</t>
        </is>
      </c>
      <c r="E26" s="4" t="inlineStr">
        <is>
          <t>Farmer (for IF)</t>
        </is>
      </c>
      <c r="F26" s="4" t="inlineStr">
        <is>
          <t>Source / Notes</t>
        </is>
      </c>
      <c r="G26" s="3" t="n"/>
    </row>
    <row r="27">
      <c r="A27" s="83" t="inlineStr">
        <is>
          <t>0.5</t>
        </is>
      </c>
      <c r="B27" s="35" t="n"/>
      <c r="C27" s="35" t="n"/>
      <c r="D27" s="35" t="n"/>
      <c r="E27" s="35" t="n"/>
      <c r="F27" s="32" t="inlineStr">
        <is>
          <t>→ Table 27</t>
        </is>
      </c>
    </row>
    <row r="28">
      <c r="A28" s="83" t="inlineStr">
        <is>
          <t>0.6</t>
        </is>
      </c>
      <c r="B28" s="35" t="n"/>
      <c r="C28" s="35" t="n"/>
      <c r="D28" s="35" t="n"/>
      <c r="E28" s="35" t="n"/>
      <c r="F28" s="32" t="inlineStr">
        <is>
          <t>→ Table 27</t>
        </is>
      </c>
    </row>
    <row r="29">
      <c r="A29" s="83" t="inlineStr">
        <is>
          <t>0.8</t>
        </is>
      </c>
      <c r="B29" s="35" t="n"/>
      <c r="C29" s="35" t="n"/>
      <c r="D29" s="35" t="n"/>
      <c r="E29" s="35" t="n"/>
      <c r="F29" s="32" t="inlineStr">
        <is>
          <t>→ Table 27</t>
        </is>
      </c>
    </row>
    <row r="30">
      <c r="A30" s="83" t="inlineStr">
        <is>
          <t>1.0</t>
        </is>
      </c>
      <c r="B30" s="35" t="n"/>
      <c r="C30" s="35" t="n"/>
      <c r="D30" s="35" t="n"/>
      <c r="E30" s="35" t="n"/>
      <c r="F30" s="32" t="inlineStr">
        <is>
          <t>→ Table 27</t>
        </is>
      </c>
    </row>
    <row r="31">
      <c r="A31" s="83" t="inlineStr">
        <is>
          <t>1.2</t>
        </is>
      </c>
      <c r="B31" s="35" t="n"/>
      <c r="C31" s="35" t="n"/>
      <c r="D31" s="35" t="n"/>
      <c r="E31" s="35" t="n"/>
      <c r="F31" s="32" t="inlineStr">
        <is>
          <t>→ Table 27</t>
        </is>
      </c>
    </row>
    <row r="32">
      <c r="A32" s="83" t="inlineStr">
        <is>
          <t>1.5</t>
        </is>
      </c>
      <c r="B32" s="35" t="n"/>
      <c r="C32" s="35" t="n"/>
      <c r="D32" s="35" t="n"/>
      <c r="E32" s="35" t="n"/>
      <c r="F32" s="32" t="inlineStr">
        <is>
          <t>→ Table 27</t>
        </is>
      </c>
    </row>
    <row r="33">
      <c r="A33" s="83" t="inlineStr">
        <is>
          <t>2.0</t>
        </is>
      </c>
      <c r="B33" s="35" t="n"/>
      <c r="C33" s="35" t="n"/>
      <c r="D33" s="35" t="n"/>
      <c r="E33" s="35" t="n"/>
      <c r="F33" s="32" t="inlineStr">
        <is>
          <t>→ Table 27</t>
        </is>
      </c>
    </row>
    <row r="34">
      <c r="A34" s="83" t="inlineStr">
        <is>
          <t>2.5</t>
        </is>
      </c>
      <c r="B34" s="35" t="n"/>
      <c r="C34" s="35" t="n"/>
      <c r="D34" s="35" t="n"/>
      <c r="E34" s="35" t="n"/>
      <c r="F34" s="32" t="inlineStr">
        <is>
          <t>→ Table 27</t>
        </is>
      </c>
    </row>
    <row r="35">
      <c r="A35" s="83" t="inlineStr">
        <is>
          <t>3.0</t>
        </is>
      </c>
      <c r="B35" s="35" t="n"/>
      <c r="C35" s="35" t="n"/>
      <c r="D35" s="35" t="n"/>
      <c r="E35" s="35" t="n"/>
      <c r="F35" s="32" t="inlineStr">
        <is>
          <t>→ Table 27</t>
        </is>
      </c>
    </row>
    <row r="36">
      <c r="A36" s="83" t="inlineStr">
        <is>
          <t>4.0</t>
        </is>
      </c>
      <c r="B36" s="35" t="n"/>
      <c r="C36" s="35" t="n"/>
      <c r="D36" s="35" t="n"/>
      <c r="E36" s="35" t="n"/>
      <c r="F36" s="32" t="inlineStr">
        <is>
          <t>→ Table 27</t>
        </is>
      </c>
    </row>
    <row r="37">
      <c r="A37" s="83" t="inlineStr">
        <is>
          <t>5.0</t>
        </is>
      </c>
      <c r="B37" s="35" t="n"/>
      <c r="C37" s="35" t="n"/>
      <c r="D37" s="35" t="n"/>
      <c r="E37" s="35" t="n"/>
      <c r="F37" s="32" t="inlineStr">
        <is>
          <t>→ Table 27</t>
        </is>
      </c>
    </row>
    <row r="38">
      <c r="A38" s="83" t="inlineStr">
        <is>
          <t>6.0</t>
        </is>
      </c>
      <c r="B38" s="35" t="n"/>
      <c r="C38" s="35" t="n"/>
      <c r="D38" s="35" t="n"/>
      <c r="E38" s="35" t="n"/>
      <c r="F38" s="32" t="inlineStr">
        <is>
          <t>→ Table 27</t>
        </is>
      </c>
    </row>
    <row r="39">
      <c r="A39" s="83" t="inlineStr">
        <is>
          <t>8.0</t>
        </is>
      </c>
      <c r="B39" s="35" t="n"/>
      <c r="C39" s="35" t="n"/>
      <c r="D39" s="35" t="n"/>
      <c r="E39" s="35" t="n"/>
      <c r="F39" s="32" t="inlineStr">
        <is>
          <t>→ Table 27</t>
        </is>
      </c>
    </row>
    <row r="40">
      <c r="A40" s="83" t="inlineStr">
        <is>
          <t>10.0</t>
        </is>
      </c>
      <c r="B40" s="43" t="n">
        <v>1</v>
      </c>
      <c r="C40" s="43" t="n">
        <v>1</v>
      </c>
      <c r="D40" s="43" t="n">
        <v>1</v>
      </c>
      <c r="E40" s="43" t="n">
        <v>1</v>
      </c>
      <c r="F40" s="32" t="inlineStr">
        <is>
          <t>k = 1.0000 by definition at msr field (10×10 cm).</t>
        </is>
      </c>
    </row>
    <row r="41">
      <c r="A41" s="32" t="inlineStr">
        <is>
          <t>For sizes not in TRS-483: interpolate linearly. Do NOT extrapolate below smallest tabulated size.</t>
        </is>
      </c>
    </row>
  </sheetData>
  <mergeCells count="9">
    <mergeCell ref="A1:G1"/>
    <mergeCell ref="A3:G3"/>
    <mergeCell ref="A21:G21"/>
    <mergeCell ref="A41:G41"/>
    <mergeCell ref="A2:G2"/>
    <mergeCell ref="F6:G6"/>
    <mergeCell ref="A25:G25"/>
    <mergeCell ref="F26:G26"/>
    <mergeCell ref="A5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A1" s="31" t="inlineStr">
        <is>
          <t>Uncertainty Budget  (k = 1, 1σ)</t>
        </is>
      </c>
      <c r="B1" s="2" t="n"/>
      <c r="C1" s="2" t="n"/>
      <c r="D1" s="2" t="n"/>
      <c r="E1" s="2" t="n"/>
      <c r="F1" s="3" t="n"/>
    </row>
    <row r="2">
      <c r="A2" s="32" t="inlineStr">
        <is>
          <t>Based on TRS-483 §8 and TG-155 §6. u_combined = √(Σuᵢ²). Values in %. Enter measured values in yellow cells; blue cells are calculated. Cross-reference with measurement sheets for reproducibility u.</t>
        </is>
      </c>
    </row>
    <row r="4">
      <c r="A4" s="84" t="inlineStr">
        <is>
          <t>Component</t>
        </is>
      </c>
      <c r="B4" s="6" t="inlineStr">
        <is>
          <t>Sclin ≥ 2 cm</t>
        </is>
      </c>
      <c r="C4" s="6" t="inlineStr">
        <is>
          <t>1 cm ≤ Sclin &lt; 2 cm</t>
        </is>
      </c>
      <c r="D4" s="6" t="inlineStr">
        <is>
          <t>0.5 cm ≤ Sclin &lt; 1 cm</t>
        </is>
      </c>
      <c r="E4" s="85" t="inlineStr">
        <is>
          <t>Source / Basis</t>
        </is>
      </c>
      <c r="F4" s="3" t="n"/>
    </row>
    <row r="5">
      <c r="A5" s="4" t="inlineStr">
        <is>
          <t>u1  Reference dosimetry (Dw, TRS-398)</t>
        </is>
      </c>
      <c r="B5" s="38" t="n">
        <v>0.9</v>
      </c>
      <c r="C5" s="38" t="n">
        <v>0.9</v>
      </c>
      <c r="D5" s="38" t="n">
        <v>0.9</v>
      </c>
      <c r="E5" s="32" t="inlineStr">
        <is>
          <t>TRS-483 §8.2; Farmer + calibration lab</t>
        </is>
      </c>
    </row>
    <row r="6">
      <c r="A6" s="4" t="inlineStr">
        <is>
          <t>u2  Field size measurement (FWHM, positioning)</t>
        </is>
      </c>
      <c r="B6" s="38" t="n">
        <v>0.3</v>
      </c>
      <c r="C6" s="38" t="n">
        <v>0.5</v>
      </c>
      <c r="D6" s="38" t="n">
        <v>1</v>
      </c>
      <c r="E6" s="32" t="inlineStr">
        <is>
          <t>Positioning uncertainty grows for small fields; ±0.1 mm tolerance</t>
        </is>
      </c>
    </row>
    <row r="7">
      <c r="A7" s="4" t="inlineStr">
        <is>
          <t>u3  kTP (T, P measurement)</t>
        </is>
      </c>
      <c r="B7" s="38" t="n">
        <v>0.1</v>
      </c>
      <c r="C7" s="38" t="n">
        <v>0.1</v>
      </c>
      <c r="D7" s="38" t="n">
        <v>0.1</v>
      </c>
      <c r="E7" s="32" t="inlineStr">
        <is>
          <t>Thermometer ±0.1 °C, barometer ±0.1 kPa</t>
        </is>
      </c>
    </row>
    <row r="8">
      <c r="A8" s="4" t="inlineStr">
        <is>
          <t>u4  kpol</t>
        </is>
      </c>
      <c r="B8" s="38" t="n">
        <v>0.1</v>
      </c>
      <c r="C8" s="38" t="n">
        <v>0.1</v>
      </c>
      <c r="D8" s="38" t="n">
        <v>0.1</v>
      </c>
      <c r="E8" s="32" t="inlineStr">
        <is>
          <t>TRS-398; typically &lt;0.5% for Farmer</t>
        </is>
      </c>
    </row>
    <row r="9">
      <c r="A9" s="4" t="inlineStr">
        <is>
          <t>u5  ks (ion recombination, Farmer)</t>
        </is>
      </c>
      <c r="B9" s="38" t="n">
        <v>0.1</v>
      </c>
      <c r="C9" s="38" t="n">
        <v>0.1</v>
      </c>
      <c r="D9" s="38" t="n">
        <v>0.1</v>
      </c>
      <c r="E9" s="32" t="inlineStr">
        <is>
          <t>Two-voltage method uncertainty</t>
        </is>
      </c>
    </row>
    <row r="10">
      <c r="A10" s="4" t="inlineStr">
        <is>
          <t>u6  k_{Q_clin,Q_msr} correction factor</t>
        </is>
      </c>
      <c r="B10" s="38" t="n">
        <v>0.5</v>
      </c>
      <c r="C10" s="38" t="n">
        <v>1</v>
      </c>
      <c r="D10" s="38" t="n">
        <v>2</v>
      </c>
      <c r="E10" s="32" t="inlineStr">
        <is>
          <t>TRS-483 uncertainty on tabulated k; increases for small fields</t>
        </is>
      </c>
    </row>
    <row r="11">
      <c r="A11" s="4" t="inlineStr">
        <is>
          <t>u7  Detector energy response / fluence perturb.</t>
        </is>
      </c>
      <c r="B11" s="38" t="n">
        <v>0.3</v>
      </c>
      <c r="C11" s="38" t="n">
        <v>0.5</v>
      </c>
      <c r="D11" s="38" t="n">
        <v>1.5</v>
      </c>
      <c r="E11" s="32" t="inlineStr">
        <is>
          <t>Residual after k correction; detector-dependent</t>
        </is>
      </c>
    </row>
    <row r="12">
      <c r="A12" s="4" t="inlineStr">
        <is>
          <t>u8  Dose-rate dependence (solid-state)</t>
        </is>
      </c>
      <c r="B12" s="38" t="n">
        <v>0.2</v>
      </c>
      <c r="C12" s="38" t="n">
        <v>0.2</v>
      </c>
      <c r="D12" s="38" t="n">
        <v>0.5</v>
      </c>
      <c r="E12" s="32" t="inlineStr">
        <is>
          <t>From DET_CONDITIONING dose-rate test</t>
        </is>
      </c>
    </row>
    <row r="13">
      <c r="A13" s="4" t="inlineStr">
        <is>
          <t>u9  Reproducibility (measured)</t>
        </is>
      </c>
      <c r="B13" s="86" t="inlineStr">
        <is>
          <t>→</t>
        </is>
      </c>
      <c r="C13" s="86" t="inlineStr">
        <is>
          <t>→</t>
        </is>
      </c>
      <c r="D13" s="86" t="inlineStr">
        <is>
          <t>→</t>
        </is>
      </c>
      <c r="E13" s="32" t="inlineStr">
        <is>
          <t>From CV column in measurement sheets (Method A/B/C)</t>
        </is>
      </c>
    </row>
    <row r="14">
      <c r="A14" s="4" t="inlineStr">
        <is>
          <t>u10 Long-term stability / drift</t>
        </is>
      </c>
      <c r="B14" s="38" t="n">
        <v>0.3</v>
      </c>
      <c r="C14" s="38" t="n">
        <v>0.3</v>
      </c>
      <c r="D14" s="38" t="n">
        <v>0.5</v>
      </c>
      <c r="E14" s="32" t="inlineStr">
        <is>
          <t>Annual re-measurement; output drift since commissioning</t>
        </is>
      </c>
    </row>
    <row r="15">
      <c r="A15" s="6" t="inlineStr">
        <is>
          <t>u_combined  [%]  = √(Σuᵢ²)</t>
        </is>
      </c>
      <c r="B15" s="87">
        <f>SQRT(SUMPRODUCT((B5:B13)^2))</f>
        <v/>
      </c>
      <c r="C15" s="87">
        <f>SQRT(SUMPRODUCT((C5:C13)^2))</f>
        <v/>
      </c>
      <c r="D15" s="87">
        <f>SQRT(SUMPRODUCT((D5:D13)^2))</f>
        <v/>
      </c>
      <c r="E15" s="32" t="inlineStr">
        <is>
          <t>Combined standard uncertainty (k=1). Multiply by 2 for 95% coverage (k=2).</t>
        </is>
      </c>
    </row>
    <row r="16">
      <c r="A16" s="6" t="inlineStr">
        <is>
          <t>U_expanded  [%]  (k=2, ≈95%)</t>
        </is>
      </c>
      <c r="B16" s="87">
        <f>2*B15</f>
        <v/>
      </c>
      <c r="C16" s="87">
        <f>2*C15</f>
        <v/>
      </c>
      <c r="D16" s="87">
        <f>2*D15</f>
        <v/>
      </c>
    </row>
    <row r="18">
      <c r="A18" s="32" t="inlineStr">
        <is>
          <t>TRS-483 §8 typical expanded uncertainties (k=2): ≥2 cm: ~2%; 1–2 cm (Method B): ~3–5%; &lt;1 cm (Method C): ~8–12%. These are total output factor uncertainties.</t>
        </is>
      </c>
    </row>
  </sheetData>
  <mergeCells count="4">
    <mergeCell ref="A2:F2"/>
    <mergeCell ref="E4:F4"/>
    <mergeCell ref="A1:F1"/>
    <mergeCell ref="A18:F1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Final Output Factor Table —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32" t="inlineStr">
        <is>
          <t>Transcribe final Ω values from Method A/B/C sheets. Green = within acceptance. Cross-detector agreement ≤ 2% (Sclin ≥ 1 cm) or ≤ 3% (&lt; 1 cm).</t>
        </is>
      </c>
    </row>
    <row r="4">
      <c r="A4" s="44" t="inlineStr">
        <is>
          <t>6 MV WFF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3" t="n"/>
    </row>
    <row r="5">
      <c r="A5" s="40" t="inlineStr">
        <is>
          <t>Nom [cm]</t>
        </is>
      </c>
      <c r="B5" s="40" t="inlineStr">
        <is>
          <t>Sclin [cm]</t>
        </is>
      </c>
      <c r="C5" s="40" t="inlineStr">
        <is>
          <t>Method</t>
        </is>
      </c>
      <c r="D5" s="88" t="inlineStr">
        <is>
          <t>Ω  A16</t>
        </is>
      </c>
      <c r="E5" s="89" t="inlineStr">
        <is>
          <t>Ω  Edge</t>
        </is>
      </c>
      <c r="F5" s="90" t="inlineStr">
        <is>
          <t>Ω  µDiam</t>
        </is>
      </c>
      <c r="G5" s="82" t="inlineStr">
        <is>
          <t>Ω  Farmer</t>
        </is>
      </c>
      <c r="H5" s="40" t="inlineStr">
        <is>
          <t>Ω  Mean</t>
        </is>
      </c>
      <c r="I5" s="40" t="inlineStr">
        <is>
          <t>Max Dev [%]</t>
        </is>
      </c>
      <c r="J5" s="40" t="inlineStr">
        <is>
          <t>U_exp [%]</t>
        </is>
      </c>
      <c r="K5" s="40" t="inlineStr">
        <is>
          <t>Accept?</t>
        </is>
      </c>
    </row>
    <row r="6" ht="16" customHeight="1">
      <c r="A6" s="82" t="inlineStr">
        <is>
          <t>0.5</t>
        </is>
      </c>
      <c r="B6" s="36" t="n"/>
      <c r="C6" s="91" t="inlineStr">
        <is>
          <t>C</t>
        </is>
      </c>
      <c r="D6" s="35" t="n"/>
      <c r="E6" s="35" t="n"/>
      <c r="F6" s="35" t="n"/>
      <c r="G6" s="35" t="n"/>
      <c r="H6" s="43">
        <f>IFERROR(AVERAGE(D6:G6),"")</f>
        <v/>
      </c>
      <c r="I6" s="51">
        <f>IFERROR(IF(H6&lt;&gt;0,(MAX(D6:G6)-MIN(D6:G6))/H6*100,""),"")</f>
        <v/>
      </c>
      <c r="J6" s="38" t="n">
        <v>10</v>
      </c>
      <c r="K6" s="72">
        <f>IF(I6="","",IF(I6&lt;=3,"PASS","FAIL"))</f>
        <v/>
      </c>
    </row>
    <row r="7" ht="16" customHeight="1">
      <c r="A7" s="82" t="inlineStr">
        <is>
          <t>0.6</t>
        </is>
      </c>
      <c r="B7" s="36" t="n"/>
      <c r="C7" s="91" t="inlineStr">
        <is>
          <t>C</t>
        </is>
      </c>
      <c r="D7" s="35" t="n"/>
      <c r="E7" s="35" t="n"/>
      <c r="F7" s="35" t="n"/>
      <c r="G7" s="35" t="n"/>
      <c r="H7" s="43">
        <f>IFERROR(AVERAGE(D7:G7),"")</f>
        <v/>
      </c>
      <c r="I7" s="51">
        <f>IFERROR(IF(H7&lt;&gt;0,(MAX(D7:G7)-MIN(D7:G7))/H7*100,""),"")</f>
        <v/>
      </c>
      <c r="J7" s="38" t="n">
        <v>10</v>
      </c>
      <c r="K7" s="72">
        <f>IF(I7="","",IF(I7&lt;=3,"PASS","FAIL"))</f>
        <v/>
      </c>
    </row>
    <row r="8" ht="16" customHeight="1">
      <c r="A8" s="82" t="inlineStr">
        <is>
          <t>0.8</t>
        </is>
      </c>
      <c r="B8" s="36" t="n"/>
      <c r="C8" s="91" t="inlineStr">
        <is>
          <t>C</t>
        </is>
      </c>
      <c r="D8" s="35" t="n"/>
      <c r="E8" s="35" t="n"/>
      <c r="F8" s="35" t="n"/>
      <c r="G8" s="35" t="n"/>
      <c r="H8" s="43">
        <f>IFERROR(AVERAGE(D8:G8),"")</f>
        <v/>
      </c>
      <c r="I8" s="51">
        <f>IFERROR(IF(H8&lt;&gt;0,(MAX(D8:G8)-MIN(D8:G8))/H8*100,""),"")</f>
        <v/>
      </c>
      <c r="J8" s="38" t="n">
        <v>10</v>
      </c>
      <c r="K8" s="72">
        <f>IF(I8="","",IF(I8&lt;=3,"PASS","FAIL"))</f>
        <v/>
      </c>
    </row>
    <row r="9" ht="16" customHeight="1">
      <c r="A9" s="82" t="inlineStr">
        <is>
          <t>1.0</t>
        </is>
      </c>
      <c r="B9" s="36" t="n"/>
      <c r="C9" s="92" t="inlineStr">
        <is>
          <t>B</t>
        </is>
      </c>
      <c r="D9" s="35" t="n"/>
      <c r="E9" s="35" t="n"/>
      <c r="F9" s="35" t="n"/>
      <c r="G9" s="35" t="n"/>
      <c r="H9" s="43">
        <f>IFERROR(AVERAGE(D9:G9),"")</f>
        <v/>
      </c>
      <c r="I9" s="51">
        <f>IFERROR(IF(H9&lt;&gt;0,(MAX(D9:G9)-MIN(D9:G9))/H9*100,""),"")</f>
        <v/>
      </c>
      <c r="J9" s="38" t="n">
        <v>4</v>
      </c>
      <c r="K9" s="72">
        <f>IF(I9="","",IF(I9&lt;=2,"PASS","FAIL"))</f>
        <v/>
      </c>
    </row>
    <row r="10" ht="16" customHeight="1">
      <c r="A10" s="82" t="inlineStr">
        <is>
          <t>1.2</t>
        </is>
      </c>
      <c r="B10" s="36" t="n"/>
      <c r="C10" s="92" t="inlineStr">
        <is>
          <t>B</t>
        </is>
      </c>
      <c r="D10" s="35" t="n"/>
      <c r="E10" s="35" t="n"/>
      <c r="F10" s="35" t="n"/>
      <c r="G10" s="35" t="n"/>
      <c r="H10" s="43">
        <f>IFERROR(AVERAGE(D10:G10),"")</f>
        <v/>
      </c>
      <c r="I10" s="51">
        <f>IFERROR(IF(H10&lt;&gt;0,(MAX(D10:G10)-MIN(D10:G10))/H10*100,""),"")</f>
        <v/>
      </c>
      <c r="J10" s="38" t="n">
        <v>4</v>
      </c>
      <c r="K10" s="72">
        <f>IF(I10="","",IF(I10&lt;=2,"PASS","FAIL"))</f>
        <v/>
      </c>
    </row>
    <row r="11" ht="16" customHeight="1">
      <c r="A11" s="82" t="inlineStr">
        <is>
          <t>1.5</t>
        </is>
      </c>
      <c r="B11" s="36" t="n"/>
      <c r="C11" s="92" t="inlineStr">
        <is>
          <t>B</t>
        </is>
      </c>
      <c r="D11" s="35" t="n"/>
      <c r="E11" s="35" t="n"/>
      <c r="F11" s="35" t="n"/>
      <c r="G11" s="35" t="n"/>
      <c r="H11" s="43">
        <f>IFERROR(AVERAGE(D11:G11),"")</f>
        <v/>
      </c>
      <c r="I11" s="51">
        <f>IFERROR(IF(H11&lt;&gt;0,(MAX(D11:G11)-MIN(D11:G11))/H11*100,""),"")</f>
        <v/>
      </c>
      <c r="J11" s="38" t="n">
        <v>4</v>
      </c>
      <c r="K11" s="72">
        <f>IF(I11="","",IF(I11&lt;=2,"PASS","FAIL"))</f>
        <v/>
      </c>
    </row>
    <row r="12" ht="16" customHeight="1">
      <c r="A12" s="82" t="inlineStr">
        <is>
          <t>2.0</t>
        </is>
      </c>
      <c r="B12" s="36" t="n"/>
      <c r="C12" s="92" t="inlineStr">
        <is>
          <t>B</t>
        </is>
      </c>
      <c r="D12" s="35" t="n"/>
      <c r="E12" s="35" t="n"/>
      <c r="F12" s="35" t="n"/>
      <c r="G12" s="35" t="n"/>
      <c r="H12" s="43">
        <f>IFERROR(AVERAGE(D12:G12),"")</f>
        <v/>
      </c>
      <c r="I12" s="51">
        <f>IFERROR(IF(H12&lt;&gt;0,(MAX(D12:G12)-MIN(D12:G12))/H12*100,""),"")</f>
        <v/>
      </c>
      <c r="J12" s="38" t="n">
        <v>4</v>
      </c>
      <c r="K12" s="72">
        <f>IF(I12="","",IF(I12&lt;=2,"PASS","FAIL"))</f>
        <v/>
      </c>
    </row>
    <row r="13" ht="16" customHeight="1">
      <c r="A13" s="82" t="inlineStr">
        <is>
          <t>2.5</t>
        </is>
      </c>
      <c r="B13" s="36" t="n"/>
      <c r="C13" s="92" t="inlineStr">
        <is>
          <t>B</t>
        </is>
      </c>
      <c r="D13" s="35" t="n"/>
      <c r="E13" s="35" t="n"/>
      <c r="F13" s="35" t="n"/>
      <c r="G13" s="35" t="n"/>
      <c r="H13" s="43">
        <f>IFERROR(AVERAGE(D13:G13),"")</f>
        <v/>
      </c>
      <c r="I13" s="51">
        <f>IFERROR(IF(H13&lt;&gt;0,(MAX(D13:G13)-MIN(D13:G13))/H13*100,""),"")</f>
        <v/>
      </c>
      <c r="J13" s="38" t="n">
        <v>4</v>
      </c>
      <c r="K13" s="72">
        <f>IF(I13="","",IF(I13&lt;=2,"PASS","FAIL"))</f>
        <v/>
      </c>
    </row>
    <row r="14" ht="16" customHeight="1">
      <c r="A14" s="82" t="inlineStr">
        <is>
          <t>3.0</t>
        </is>
      </c>
      <c r="B14" s="36" t="n"/>
      <c r="C14" s="82" t="inlineStr">
        <is>
          <t>A</t>
        </is>
      </c>
      <c r="D14" s="35" t="n"/>
      <c r="E14" s="35" t="n"/>
      <c r="F14" s="35" t="n"/>
      <c r="G14" s="35" t="n"/>
      <c r="H14" s="43">
        <f>IFERROR(AVERAGE(D14:G14),"")</f>
        <v/>
      </c>
      <c r="I14" s="51">
        <f>IFERROR(IF(H14&lt;&gt;0,(MAX(D14:G14)-MIN(D14:G14))/H14*100,""),"")</f>
        <v/>
      </c>
      <c r="J14" s="38" t="n">
        <v>2</v>
      </c>
      <c r="K14" s="72">
        <f>IF(I14="","",IF(I14&lt;=2,"PASS","FAIL"))</f>
        <v/>
      </c>
    </row>
    <row r="15" ht="16" customHeight="1">
      <c r="A15" s="82" t="inlineStr">
        <is>
          <t>4.0</t>
        </is>
      </c>
      <c r="B15" s="36" t="n"/>
      <c r="C15" s="82" t="inlineStr">
        <is>
          <t>A</t>
        </is>
      </c>
      <c r="D15" s="35" t="n"/>
      <c r="E15" s="35" t="n"/>
      <c r="F15" s="35" t="n"/>
      <c r="G15" s="35" t="n"/>
      <c r="H15" s="43">
        <f>IFERROR(AVERAGE(D15:G15),"")</f>
        <v/>
      </c>
      <c r="I15" s="51">
        <f>IFERROR(IF(H15&lt;&gt;0,(MAX(D15:G15)-MIN(D15:G15))/H15*100,""),"")</f>
        <v/>
      </c>
      <c r="J15" s="38" t="n">
        <v>2</v>
      </c>
      <c r="K15" s="72">
        <f>IF(I15="","",IF(I15&lt;=2,"PASS","FAIL"))</f>
        <v/>
      </c>
    </row>
    <row r="16" ht="16" customHeight="1">
      <c r="A16" s="82" t="inlineStr">
        <is>
          <t>5.0</t>
        </is>
      </c>
      <c r="B16" s="36" t="n"/>
      <c r="C16" s="82" t="inlineStr">
        <is>
          <t>A</t>
        </is>
      </c>
      <c r="D16" s="35" t="n"/>
      <c r="E16" s="35" t="n"/>
      <c r="F16" s="35" t="n"/>
      <c r="G16" s="35" t="n"/>
      <c r="H16" s="43">
        <f>IFERROR(AVERAGE(D16:G16),"")</f>
        <v/>
      </c>
      <c r="I16" s="51">
        <f>IFERROR(IF(H16&lt;&gt;0,(MAX(D16:G16)-MIN(D16:G16))/H16*100,""),"")</f>
        <v/>
      </c>
      <c r="J16" s="38" t="n">
        <v>2</v>
      </c>
      <c r="K16" s="72">
        <f>IF(I16="","",IF(I16&lt;=2,"PASS","FAIL"))</f>
        <v/>
      </c>
    </row>
    <row r="17" ht="16" customHeight="1">
      <c r="A17" s="82" t="inlineStr">
        <is>
          <t>6.0</t>
        </is>
      </c>
      <c r="B17" s="36" t="n"/>
      <c r="C17" s="82" t="inlineStr">
        <is>
          <t>A</t>
        </is>
      </c>
      <c r="D17" s="35" t="n"/>
      <c r="E17" s="35" t="n"/>
      <c r="F17" s="35" t="n"/>
      <c r="G17" s="35" t="n"/>
      <c r="H17" s="43">
        <f>IFERROR(AVERAGE(D17:G17),"")</f>
        <v/>
      </c>
      <c r="I17" s="51">
        <f>IFERROR(IF(H17&lt;&gt;0,(MAX(D17:G17)-MIN(D17:G17))/H17*100,""),"")</f>
        <v/>
      </c>
      <c r="J17" s="38" t="n">
        <v>2</v>
      </c>
      <c r="K17" s="72">
        <f>IF(I17="","",IF(I17&lt;=2,"PASS","FAIL"))</f>
        <v/>
      </c>
    </row>
    <row r="18" ht="16" customHeight="1">
      <c r="A18" s="82" t="inlineStr">
        <is>
          <t>8.0</t>
        </is>
      </c>
      <c r="B18" s="36" t="n"/>
      <c r="C18" s="82" t="inlineStr">
        <is>
          <t>A</t>
        </is>
      </c>
      <c r="D18" s="35" t="n"/>
      <c r="E18" s="35" t="n"/>
      <c r="F18" s="35" t="n"/>
      <c r="G18" s="35" t="n"/>
      <c r="H18" s="43">
        <f>IFERROR(AVERAGE(D18:G18),"")</f>
        <v/>
      </c>
      <c r="I18" s="51">
        <f>IFERROR(IF(H18&lt;&gt;0,(MAX(D18:G18)-MIN(D18:G18))/H18*100,""),"")</f>
        <v/>
      </c>
      <c r="J18" s="38" t="n">
        <v>2</v>
      </c>
      <c r="K18" s="72">
        <f>IF(I18="","",IF(I18&lt;=2,"PASS","FAIL"))</f>
        <v/>
      </c>
    </row>
    <row r="19" ht="16" customHeight="1">
      <c r="A19" s="82" t="inlineStr">
        <is>
          <t>10.0</t>
        </is>
      </c>
      <c r="B19" s="36" t="n"/>
      <c r="C19" s="82" t="inlineStr">
        <is>
          <t>A</t>
        </is>
      </c>
      <c r="D19" s="35" t="n"/>
      <c r="E19" s="35" t="n"/>
      <c r="F19" s="35" t="n"/>
      <c r="G19" s="35" t="n"/>
      <c r="H19" s="43">
        <f>IFERROR(AVERAGE(D19:G19),"")</f>
        <v/>
      </c>
      <c r="I19" s="51">
        <f>IFERROR(IF(H19&lt;&gt;0,(MAX(D19:G19)-MIN(D19:G19))/H19*100,""),"")</f>
        <v/>
      </c>
      <c r="J19" s="38" t="n">
        <v>2</v>
      </c>
      <c r="K19" s="72">
        <f>IF(I19="","",IF(I19&lt;=2,"PASS","FAIL"))</f>
        <v/>
      </c>
    </row>
    <row r="20">
      <c r="A20" s="32" t="inlineStr">
        <is>
          <t>All Ω are normalised to the 10×10 cm msr field (Ω = 1.0000). Ω for 10×10 cm should be 1.0000 by definition. Uncertainty column = typical expanded (k=2) — update from UNCERTAINTY sheet.</t>
        </is>
      </c>
    </row>
    <row r="23">
      <c r="A23" s="44" t="inlineStr">
        <is>
          <t>10 MV WFF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3" t="n"/>
    </row>
    <row r="24">
      <c r="A24" s="40" t="inlineStr">
        <is>
          <t>Nom [cm]</t>
        </is>
      </c>
      <c r="B24" s="40" t="inlineStr">
        <is>
          <t>Sclin [cm]</t>
        </is>
      </c>
      <c r="C24" s="40" t="inlineStr">
        <is>
          <t>Method</t>
        </is>
      </c>
      <c r="D24" s="88" t="inlineStr">
        <is>
          <t>Ω  A16</t>
        </is>
      </c>
      <c r="E24" s="89" t="inlineStr">
        <is>
          <t>Ω  Edge</t>
        </is>
      </c>
      <c r="F24" s="90" t="inlineStr">
        <is>
          <t>Ω  µDiam</t>
        </is>
      </c>
      <c r="G24" s="83" t="inlineStr">
        <is>
          <t>Ω  Farmer</t>
        </is>
      </c>
      <c r="H24" s="40" t="inlineStr">
        <is>
          <t>Ω  Mean</t>
        </is>
      </c>
      <c r="I24" s="40" t="inlineStr">
        <is>
          <t>Max Dev [%]</t>
        </is>
      </c>
      <c r="J24" s="40" t="inlineStr">
        <is>
          <t>U_exp [%]</t>
        </is>
      </c>
      <c r="K24" s="40" t="inlineStr">
        <is>
          <t>Accept?</t>
        </is>
      </c>
    </row>
    <row r="25" ht="16" customHeight="1">
      <c r="A25" s="83" t="inlineStr">
        <is>
          <t>0.5</t>
        </is>
      </c>
      <c r="B25" s="36" t="n"/>
      <c r="C25" s="91" t="inlineStr">
        <is>
          <t>C</t>
        </is>
      </c>
      <c r="D25" s="35" t="n"/>
      <c r="E25" s="35" t="n"/>
      <c r="F25" s="35" t="n"/>
      <c r="G25" s="35" t="n"/>
      <c r="H25" s="43">
        <f>IFERROR(AVERAGE(D25:G25),"")</f>
        <v/>
      </c>
      <c r="I25" s="51">
        <f>IFERROR(IF(H25&lt;&gt;0,(MAX(D25:G25)-MIN(D25:G25))/H25*100,""),"")</f>
        <v/>
      </c>
      <c r="J25" s="38" t="n">
        <v>10</v>
      </c>
      <c r="K25" s="72">
        <f>IF(I25="","",IF(I25&lt;=3,"PASS","FAIL"))</f>
        <v/>
      </c>
    </row>
    <row r="26" ht="16" customHeight="1">
      <c r="A26" s="83" t="inlineStr">
        <is>
          <t>0.6</t>
        </is>
      </c>
      <c r="B26" s="36" t="n"/>
      <c r="C26" s="91" t="inlineStr">
        <is>
          <t>C</t>
        </is>
      </c>
      <c r="D26" s="35" t="n"/>
      <c r="E26" s="35" t="n"/>
      <c r="F26" s="35" t="n"/>
      <c r="G26" s="35" t="n"/>
      <c r="H26" s="43">
        <f>IFERROR(AVERAGE(D26:G26),"")</f>
        <v/>
      </c>
      <c r="I26" s="51">
        <f>IFERROR(IF(H26&lt;&gt;0,(MAX(D26:G26)-MIN(D26:G26))/H26*100,""),"")</f>
        <v/>
      </c>
      <c r="J26" s="38" t="n">
        <v>10</v>
      </c>
      <c r="K26" s="72">
        <f>IF(I26="","",IF(I26&lt;=3,"PASS","FAIL"))</f>
        <v/>
      </c>
    </row>
    <row r="27" ht="16" customHeight="1">
      <c r="A27" s="83" t="inlineStr">
        <is>
          <t>0.8</t>
        </is>
      </c>
      <c r="B27" s="36" t="n"/>
      <c r="C27" s="91" t="inlineStr">
        <is>
          <t>C</t>
        </is>
      </c>
      <c r="D27" s="35" t="n"/>
      <c r="E27" s="35" t="n"/>
      <c r="F27" s="35" t="n"/>
      <c r="G27" s="35" t="n"/>
      <c r="H27" s="43">
        <f>IFERROR(AVERAGE(D27:G27),"")</f>
        <v/>
      </c>
      <c r="I27" s="51">
        <f>IFERROR(IF(H27&lt;&gt;0,(MAX(D27:G27)-MIN(D27:G27))/H27*100,""),"")</f>
        <v/>
      </c>
      <c r="J27" s="38" t="n">
        <v>10</v>
      </c>
      <c r="K27" s="72">
        <f>IF(I27="","",IF(I27&lt;=3,"PASS","FAIL"))</f>
        <v/>
      </c>
    </row>
    <row r="28" ht="16" customHeight="1">
      <c r="A28" s="83" t="inlineStr">
        <is>
          <t>1.0</t>
        </is>
      </c>
      <c r="B28" s="36" t="n"/>
      <c r="C28" s="92" t="inlineStr">
        <is>
          <t>B</t>
        </is>
      </c>
      <c r="D28" s="35" t="n"/>
      <c r="E28" s="35" t="n"/>
      <c r="F28" s="35" t="n"/>
      <c r="G28" s="35" t="n"/>
      <c r="H28" s="43">
        <f>IFERROR(AVERAGE(D28:G28),"")</f>
        <v/>
      </c>
      <c r="I28" s="51">
        <f>IFERROR(IF(H28&lt;&gt;0,(MAX(D28:G28)-MIN(D28:G28))/H28*100,""),"")</f>
        <v/>
      </c>
      <c r="J28" s="38" t="n">
        <v>4</v>
      </c>
      <c r="K28" s="72">
        <f>IF(I28="","",IF(I28&lt;=2,"PASS","FAIL"))</f>
        <v/>
      </c>
    </row>
    <row r="29" ht="16" customHeight="1">
      <c r="A29" s="83" t="inlineStr">
        <is>
          <t>1.2</t>
        </is>
      </c>
      <c r="B29" s="36" t="n"/>
      <c r="C29" s="92" t="inlineStr">
        <is>
          <t>B</t>
        </is>
      </c>
      <c r="D29" s="35" t="n"/>
      <c r="E29" s="35" t="n"/>
      <c r="F29" s="35" t="n"/>
      <c r="G29" s="35" t="n"/>
      <c r="H29" s="43">
        <f>IFERROR(AVERAGE(D29:G29),"")</f>
        <v/>
      </c>
      <c r="I29" s="51">
        <f>IFERROR(IF(H29&lt;&gt;0,(MAX(D29:G29)-MIN(D29:G29))/H29*100,""),"")</f>
        <v/>
      </c>
      <c r="J29" s="38" t="n">
        <v>4</v>
      </c>
      <c r="K29" s="72">
        <f>IF(I29="","",IF(I29&lt;=2,"PASS","FAIL"))</f>
        <v/>
      </c>
    </row>
    <row r="30" ht="16" customHeight="1">
      <c r="A30" s="83" t="inlineStr">
        <is>
          <t>1.5</t>
        </is>
      </c>
      <c r="B30" s="36" t="n"/>
      <c r="C30" s="92" t="inlineStr">
        <is>
          <t>B</t>
        </is>
      </c>
      <c r="D30" s="35" t="n"/>
      <c r="E30" s="35" t="n"/>
      <c r="F30" s="35" t="n"/>
      <c r="G30" s="35" t="n"/>
      <c r="H30" s="43">
        <f>IFERROR(AVERAGE(D30:G30),"")</f>
        <v/>
      </c>
      <c r="I30" s="51">
        <f>IFERROR(IF(H30&lt;&gt;0,(MAX(D30:G30)-MIN(D30:G30))/H30*100,""),"")</f>
        <v/>
      </c>
      <c r="J30" s="38" t="n">
        <v>4</v>
      </c>
      <c r="K30" s="72">
        <f>IF(I30="","",IF(I30&lt;=2,"PASS","FAIL"))</f>
        <v/>
      </c>
    </row>
    <row r="31" ht="16" customHeight="1">
      <c r="A31" s="83" t="inlineStr">
        <is>
          <t>2.0</t>
        </is>
      </c>
      <c r="B31" s="36" t="n"/>
      <c r="C31" s="92" t="inlineStr">
        <is>
          <t>B</t>
        </is>
      </c>
      <c r="D31" s="35" t="n"/>
      <c r="E31" s="35" t="n"/>
      <c r="F31" s="35" t="n"/>
      <c r="G31" s="35" t="n"/>
      <c r="H31" s="43">
        <f>IFERROR(AVERAGE(D31:G31),"")</f>
        <v/>
      </c>
      <c r="I31" s="51">
        <f>IFERROR(IF(H31&lt;&gt;0,(MAX(D31:G31)-MIN(D31:G31))/H31*100,""),"")</f>
        <v/>
      </c>
      <c r="J31" s="38" t="n">
        <v>4</v>
      </c>
      <c r="K31" s="72">
        <f>IF(I31="","",IF(I31&lt;=2,"PASS","FAIL"))</f>
        <v/>
      </c>
    </row>
    <row r="32" ht="16" customHeight="1">
      <c r="A32" s="83" t="inlineStr">
        <is>
          <t>2.5</t>
        </is>
      </c>
      <c r="B32" s="36" t="n"/>
      <c r="C32" s="92" t="inlineStr">
        <is>
          <t>B</t>
        </is>
      </c>
      <c r="D32" s="35" t="n"/>
      <c r="E32" s="35" t="n"/>
      <c r="F32" s="35" t="n"/>
      <c r="G32" s="35" t="n"/>
      <c r="H32" s="43">
        <f>IFERROR(AVERAGE(D32:G32),"")</f>
        <v/>
      </c>
      <c r="I32" s="51">
        <f>IFERROR(IF(H32&lt;&gt;0,(MAX(D32:G32)-MIN(D32:G32))/H32*100,""),"")</f>
        <v/>
      </c>
      <c r="J32" s="38" t="n">
        <v>4</v>
      </c>
      <c r="K32" s="72">
        <f>IF(I32="","",IF(I32&lt;=2,"PASS","FAIL"))</f>
        <v/>
      </c>
    </row>
    <row r="33" ht="16" customHeight="1">
      <c r="A33" s="83" t="inlineStr">
        <is>
          <t>3.0</t>
        </is>
      </c>
      <c r="B33" s="36" t="n"/>
      <c r="C33" s="83" t="inlineStr">
        <is>
          <t>A</t>
        </is>
      </c>
      <c r="D33" s="35" t="n"/>
      <c r="E33" s="35" t="n"/>
      <c r="F33" s="35" t="n"/>
      <c r="G33" s="35" t="n"/>
      <c r="H33" s="43">
        <f>IFERROR(AVERAGE(D33:G33),"")</f>
        <v/>
      </c>
      <c r="I33" s="51">
        <f>IFERROR(IF(H33&lt;&gt;0,(MAX(D33:G33)-MIN(D33:G33))/H33*100,""),"")</f>
        <v/>
      </c>
      <c r="J33" s="38" t="n">
        <v>2</v>
      </c>
      <c r="K33" s="72">
        <f>IF(I33="","",IF(I33&lt;=2,"PASS","FAIL"))</f>
        <v/>
      </c>
    </row>
    <row r="34" ht="16" customHeight="1">
      <c r="A34" s="83" t="inlineStr">
        <is>
          <t>4.0</t>
        </is>
      </c>
      <c r="B34" s="36" t="n"/>
      <c r="C34" s="83" t="inlineStr">
        <is>
          <t>A</t>
        </is>
      </c>
      <c r="D34" s="35" t="n"/>
      <c r="E34" s="35" t="n"/>
      <c r="F34" s="35" t="n"/>
      <c r="G34" s="35" t="n"/>
      <c r="H34" s="43">
        <f>IFERROR(AVERAGE(D34:G34),"")</f>
        <v/>
      </c>
      <c r="I34" s="51">
        <f>IFERROR(IF(H34&lt;&gt;0,(MAX(D34:G34)-MIN(D34:G34))/H34*100,""),"")</f>
        <v/>
      </c>
      <c r="J34" s="38" t="n">
        <v>2</v>
      </c>
      <c r="K34" s="72">
        <f>IF(I34="","",IF(I34&lt;=2,"PASS","FAIL"))</f>
        <v/>
      </c>
    </row>
    <row r="35" ht="16" customHeight="1">
      <c r="A35" s="83" t="inlineStr">
        <is>
          <t>5.0</t>
        </is>
      </c>
      <c r="B35" s="36" t="n"/>
      <c r="C35" s="83" t="inlineStr">
        <is>
          <t>A</t>
        </is>
      </c>
      <c r="D35" s="35" t="n"/>
      <c r="E35" s="35" t="n"/>
      <c r="F35" s="35" t="n"/>
      <c r="G35" s="35" t="n"/>
      <c r="H35" s="43">
        <f>IFERROR(AVERAGE(D35:G35),"")</f>
        <v/>
      </c>
      <c r="I35" s="51">
        <f>IFERROR(IF(H35&lt;&gt;0,(MAX(D35:G35)-MIN(D35:G35))/H35*100,""),"")</f>
        <v/>
      </c>
      <c r="J35" s="38" t="n">
        <v>2</v>
      </c>
      <c r="K35" s="72">
        <f>IF(I35="","",IF(I35&lt;=2,"PASS","FAIL"))</f>
        <v/>
      </c>
    </row>
    <row r="36" ht="16" customHeight="1">
      <c r="A36" s="83" t="inlineStr">
        <is>
          <t>6.0</t>
        </is>
      </c>
      <c r="B36" s="36" t="n"/>
      <c r="C36" s="83" t="inlineStr">
        <is>
          <t>A</t>
        </is>
      </c>
      <c r="D36" s="35" t="n"/>
      <c r="E36" s="35" t="n"/>
      <c r="F36" s="35" t="n"/>
      <c r="G36" s="35" t="n"/>
      <c r="H36" s="43">
        <f>IFERROR(AVERAGE(D36:G36),"")</f>
        <v/>
      </c>
      <c r="I36" s="51">
        <f>IFERROR(IF(H36&lt;&gt;0,(MAX(D36:G36)-MIN(D36:G36))/H36*100,""),"")</f>
        <v/>
      </c>
      <c r="J36" s="38" t="n">
        <v>2</v>
      </c>
      <c r="K36" s="72">
        <f>IF(I36="","",IF(I36&lt;=2,"PASS","FAIL"))</f>
        <v/>
      </c>
    </row>
    <row r="37" ht="16" customHeight="1">
      <c r="A37" s="83" t="inlineStr">
        <is>
          <t>8.0</t>
        </is>
      </c>
      <c r="B37" s="36" t="n"/>
      <c r="C37" s="83" t="inlineStr">
        <is>
          <t>A</t>
        </is>
      </c>
      <c r="D37" s="35" t="n"/>
      <c r="E37" s="35" t="n"/>
      <c r="F37" s="35" t="n"/>
      <c r="G37" s="35" t="n"/>
      <c r="H37" s="43">
        <f>IFERROR(AVERAGE(D37:G37),"")</f>
        <v/>
      </c>
      <c r="I37" s="51">
        <f>IFERROR(IF(H37&lt;&gt;0,(MAX(D37:G37)-MIN(D37:G37))/H37*100,""),"")</f>
        <v/>
      </c>
      <c r="J37" s="38" t="n">
        <v>2</v>
      </c>
      <c r="K37" s="72">
        <f>IF(I37="","",IF(I37&lt;=2,"PASS","FAIL"))</f>
        <v/>
      </c>
    </row>
    <row r="38" ht="16" customHeight="1">
      <c r="A38" s="83" t="inlineStr">
        <is>
          <t>10.0</t>
        </is>
      </c>
      <c r="B38" s="36" t="n"/>
      <c r="C38" s="83" t="inlineStr">
        <is>
          <t>A</t>
        </is>
      </c>
      <c r="D38" s="35" t="n"/>
      <c r="E38" s="35" t="n"/>
      <c r="F38" s="35" t="n"/>
      <c r="G38" s="35" t="n"/>
      <c r="H38" s="43">
        <f>IFERROR(AVERAGE(D38:G38),"")</f>
        <v/>
      </c>
      <c r="I38" s="51">
        <f>IFERROR(IF(H38&lt;&gt;0,(MAX(D38:G38)-MIN(D38:G38))/H38*100,""),"")</f>
        <v/>
      </c>
      <c r="J38" s="38" t="n">
        <v>2</v>
      </c>
      <c r="K38" s="72">
        <f>IF(I38="","",IF(I38&lt;=2,"PASS","FAIL"))</f>
        <v/>
      </c>
    </row>
    <row r="39">
      <c r="A39" s="32" t="inlineStr">
        <is>
          <t>All Ω are normalised to the 10×10 cm msr field (Ω = 1.0000). Ω for 10×10 cm should be 1.0000 by definition. Uncertainty column = typical expanded (k=2) — update from UNCERTAINTY sheet.</t>
        </is>
      </c>
    </row>
  </sheetData>
  <mergeCells count="6">
    <mergeCell ref="A4:K4"/>
    <mergeCell ref="A20:K20"/>
    <mergeCell ref="A39:K39"/>
    <mergeCell ref="A2:K2"/>
    <mergeCell ref="A1:K1"/>
    <mergeCell ref="A23:K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2026-05-21T20:49:52Z</dcterms:created>
  <dcterms:modified xmlns:dcterms="http://purl.org/dc/terms/" xmlns:xsi="http://www.w3.org/2001/XMLSchema-instance" xsi:type="dcterms:W3CDTF">2026-05-21T20:49:53Z</dcterms:modified>
</cp:coreProperties>
</file>